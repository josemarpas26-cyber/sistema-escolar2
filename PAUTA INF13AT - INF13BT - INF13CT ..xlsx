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5-2026\PAUTAS\IIº TRIMESTRE\PAUTAS\PAUTAS\"/>
    </mc:Choice>
  </mc:AlternateContent>
  <bookViews>
    <workbookView xWindow="-120" yWindow="-120" windowWidth="19440" windowHeight="11160"/>
  </bookViews>
  <sheets>
    <sheet name="INF13AT(3ºT)   " sheetId="14" r:id="rId1"/>
    <sheet name="INF13BT(3ºT)" sheetId="15" r:id="rId2"/>
    <sheet name="INF13CT(3ºT)" sheetId="16" r:id="rId3"/>
  </sheets>
  <calcPr calcId="152511"/>
</workbook>
</file>

<file path=xl/calcChain.xml><?xml version="1.0" encoding="utf-8"?>
<calcChain xmlns="http://schemas.openxmlformats.org/spreadsheetml/2006/main">
  <c r="AA24" i="16" l="1"/>
  <c r="AB24" i="16" s="1"/>
  <c r="AC24" i="16" s="1"/>
  <c r="AH24" i="16" s="1"/>
  <c r="AI24" i="16" s="1"/>
  <c r="AH38" i="15" l="1"/>
  <c r="AI38" i="15" s="1"/>
  <c r="AH46" i="14" l="1"/>
  <c r="AH47" i="14"/>
  <c r="AH48" i="14"/>
  <c r="AH49" i="14"/>
  <c r="AA30" i="16" l="1"/>
  <c r="AB30" i="16" s="1"/>
  <c r="AC30" i="16" s="1"/>
  <c r="AH30" i="16" s="1"/>
  <c r="AI30" i="16" s="1"/>
  <c r="AA31" i="16"/>
  <c r="AB31" i="16" s="1"/>
  <c r="AC31" i="16" s="1"/>
  <c r="AH31" i="16" s="1"/>
  <c r="AI31" i="16" s="1"/>
  <c r="AA32" i="16"/>
  <c r="AB32" i="16"/>
  <c r="AC32" i="16" s="1"/>
  <c r="AH32" i="16" s="1"/>
  <c r="AI32" i="16" s="1"/>
  <c r="AA33" i="16"/>
  <c r="AB33" i="16" s="1"/>
  <c r="AC33" i="16" s="1"/>
  <c r="AH33" i="16" s="1"/>
  <c r="AI33" i="16" s="1"/>
  <c r="AA34" i="16"/>
  <c r="AB34" i="16" s="1"/>
  <c r="AC34" i="16" s="1"/>
  <c r="AH34" i="16" s="1"/>
  <c r="AI34" i="16" s="1"/>
  <c r="AA35" i="16"/>
  <c r="AB35" i="16" s="1"/>
  <c r="AC35" i="16" s="1"/>
  <c r="AH35" i="16" s="1"/>
  <c r="AI35" i="16" s="1"/>
  <c r="AA36" i="16"/>
  <c r="AB36" i="16" s="1"/>
  <c r="AC36" i="16" s="1"/>
  <c r="AH36" i="16" s="1"/>
  <c r="AI36" i="16" s="1"/>
  <c r="AA37" i="16"/>
  <c r="AB37" i="16" s="1"/>
  <c r="AC37" i="16" s="1"/>
  <c r="AH37" i="16" s="1"/>
  <c r="AI37" i="16" s="1"/>
  <c r="AA38" i="16"/>
  <c r="AB38" i="16" s="1"/>
  <c r="AC38" i="16" s="1"/>
  <c r="AH38" i="16" s="1"/>
  <c r="AI38" i="16" s="1"/>
  <c r="AA39" i="16"/>
  <c r="AB39" i="16" s="1"/>
  <c r="AC39" i="16" s="1"/>
  <c r="AH39" i="16" s="1"/>
  <c r="AI39" i="16" s="1"/>
  <c r="AA40" i="16"/>
  <c r="AB40" i="16"/>
  <c r="AC40" i="16" s="1"/>
  <c r="AH40" i="16" s="1"/>
  <c r="AI40" i="16" s="1"/>
  <c r="AA41" i="16"/>
  <c r="AB41" i="16" s="1"/>
  <c r="AC41" i="16" s="1"/>
  <c r="AH41" i="16" s="1"/>
  <c r="AI41" i="16" s="1"/>
  <c r="AA42" i="16"/>
  <c r="AB42" i="16" s="1"/>
  <c r="AC42" i="16" s="1"/>
  <c r="AH42" i="16" s="1"/>
  <c r="AI42" i="16" s="1"/>
  <c r="AA43" i="16"/>
  <c r="AB43" i="16"/>
  <c r="AC43" i="16" s="1"/>
  <c r="AH43" i="16" s="1"/>
  <c r="AI43" i="16" s="1"/>
  <c r="AA44" i="16"/>
  <c r="AB44" i="16" s="1"/>
  <c r="AC44" i="16" s="1"/>
  <c r="AH44" i="16" s="1"/>
  <c r="AI44" i="16" s="1"/>
  <c r="AA29" i="15" l="1"/>
  <c r="AB29" i="15" s="1"/>
  <c r="AC29" i="15" s="1"/>
  <c r="AH29" i="15" s="1"/>
  <c r="AI29" i="15" s="1"/>
  <c r="AA30" i="15"/>
  <c r="AB30" i="15" s="1"/>
  <c r="AC30" i="15" s="1"/>
  <c r="AH30" i="15" s="1"/>
  <c r="AI30" i="15" s="1"/>
  <c r="AA31" i="15"/>
  <c r="AB31" i="15"/>
  <c r="AC31" i="15" s="1"/>
  <c r="AH31" i="15" s="1"/>
  <c r="AI31" i="15" s="1"/>
  <c r="AA32" i="15"/>
  <c r="AB32" i="15" s="1"/>
  <c r="AC32" i="15" s="1"/>
  <c r="AH32" i="15" s="1"/>
  <c r="AI32" i="15" s="1"/>
  <c r="AA33" i="15"/>
  <c r="AB33" i="15" s="1"/>
  <c r="AC33" i="15" s="1"/>
  <c r="AH33" i="15" s="1"/>
  <c r="AI33" i="15" s="1"/>
  <c r="AA34" i="15"/>
  <c r="AB34" i="15" s="1"/>
  <c r="AC34" i="15" s="1"/>
  <c r="AH34" i="15" s="1"/>
  <c r="AI34" i="15" s="1"/>
  <c r="AA35" i="15"/>
  <c r="AB35" i="15"/>
  <c r="AC35" i="15" s="1"/>
  <c r="AH35" i="15" s="1"/>
  <c r="AI35" i="15" s="1"/>
  <c r="AA36" i="15"/>
  <c r="AB36" i="15" s="1"/>
  <c r="AC36" i="15" s="1"/>
  <c r="AH36" i="15" s="1"/>
  <c r="AI36" i="15" s="1"/>
  <c r="AA37" i="15"/>
  <c r="AB37" i="15" s="1"/>
  <c r="AC37" i="15" s="1"/>
  <c r="AH37" i="15" s="1"/>
  <c r="AI37" i="15" s="1"/>
  <c r="AA38" i="15"/>
  <c r="AB38" i="15" s="1"/>
  <c r="AC38" i="15" s="1"/>
  <c r="AA39" i="15"/>
  <c r="AB39" i="15"/>
  <c r="AC39" i="15" s="1"/>
  <c r="AH39" i="15" s="1"/>
  <c r="AI39" i="15" s="1"/>
  <c r="AA40" i="15"/>
  <c r="AB40" i="15" s="1"/>
  <c r="AC40" i="15" s="1"/>
  <c r="AH40" i="15" s="1"/>
  <c r="AI40" i="15" s="1"/>
  <c r="AA41" i="15"/>
  <c r="AB41" i="15" s="1"/>
  <c r="AC41" i="15" s="1"/>
  <c r="AH41" i="15" s="1"/>
  <c r="AI41" i="15" s="1"/>
  <c r="AA42" i="15"/>
  <c r="AB42" i="15" s="1"/>
  <c r="AC42" i="15" s="1"/>
  <c r="AH42" i="15" s="1"/>
  <c r="AI42" i="15" s="1"/>
  <c r="AA43" i="15"/>
  <c r="AB43" i="15"/>
  <c r="AC43" i="15" s="1"/>
  <c r="AH43" i="15" s="1"/>
  <c r="AI43" i="15" s="1"/>
  <c r="AA44" i="15"/>
  <c r="AB44" i="15" s="1"/>
  <c r="AC44" i="15" s="1"/>
  <c r="AH44" i="15" s="1"/>
  <c r="AI44" i="15" s="1"/>
  <c r="AA45" i="15"/>
  <c r="AB45" i="15" s="1"/>
  <c r="AC45" i="15" s="1"/>
  <c r="AH45" i="15" s="1"/>
  <c r="AI45" i="15" s="1"/>
  <c r="AA29" i="14"/>
  <c r="AB29" i="14" s="1"/>
  <c r="AC29" i="14" s="1"/>
  <c r="AH29" i="14" s="1"/>
  <c r="AI29" i="14" s="1"/>
  <c r="AA30" i="14"/>
  <c r="AB30" i="14" s="1"/>
  <c r="AC30" i="14" s="1"/>
  <c r="AH30" i="14" s="1"/>
  <c r="AI30" i="14" s="1"/>
  <c r="AA31" i="14"/>
  <c r="AB31" i="14" s="1"/>
  <c r="AC31" i="14" s="1"/>
  <c r="AH31" i="14" s="1"/>
  <c r="AI31" i="14" s="1"/>
  <c r="AA32" i="14"/>
  <c r="AB32" i="14"/>
  <c r="AC32" i="14" s="1"/>
  <c r="AH32" i="14" s="1"/>
  <c r="AI32" i="14" s="1"/>
  <c r="AA33" i="14"/>
  <c r="AB33" i="14" s="1"/>
  <c r="AC33" i="14" s="1"/>
  <c r="AH33" i="14" s="1"/>
  <c r="AI33" i="14" s="1"/>
  <c r="AA34" i="14"/>
  <c r="AB34" i="14" s="1"/>
  <c r="AC34" i="14" s="1"/>
  <c r="AH34" i="14" s="1"/>
  <c r="AI34" i="14" s="1"/>
  <c r="AA35" i="14"/>
  <c r="AB35" i="14" s="1"/>
  <c r="AC35" i="14" s="1"/>
  <c r="AH35" i="14" s="1"/>
  <c r="AI35" i="14" s="1"/>
  <c r="AA36" i="14"/>
  <c r="AB36" i="14"/>
  <c r="AC36" i="14" s="1"/>
  <c r="AH36" i="14" s="1"/>
  <c r="AI36" i="14" s="1"/>
  <c r="AA37" i="14"/>
  <c r="AB37" i="14" s="1"/>
  <c r="AC37" i="14" s="1"/>
  <c r="AH37" i="14" s="1"/>
  <c r="AI37" i="14" s="1"/>
  <c r="AA38" i="14"/>
  <c r="AB38" i="14" s="1"/>
  <c r="AC38" i="14" s="1"/>
  <c r="AH38" i="14" s="1"/>
  <c r="AI38" i="14" s="1"/>
  <c r="AA39" i="14"/>
  <c r="AB39" i="14" s="1"/>
  <c r="AC39" i="14" s="1"/>
  <c r="AH39" i="14" s="1"/>
  <c r="AI39" i="14" s="1"/>
  <c r="AA40" i="14"/>
  <c r="AB40" i="14"/>
  <c r="AC40" i="14" s="1"/>
  <c r="AH40" i="14" s="1"/>
  <c r="AI40" i="14" s="1"/>
  <c r="AA41" i="14"/>
  <c r="AB41" i="14" s="1"/>
  <c r="AC41" i="14" s="1"/>
  <c r="AH41" i="14" s="1"/>
  <c r="AI41" i="14" s="1"/>
  <c r="AA42" i="14"/>
  <c r="AB42" i="14" s="1"/>
  <c r="AC42" i="14" s="1"/>
  <c r="AH42" i="14" s="1"/>
  <c r="AI42" i="14" s="1"/>
  <c r="AA43" i="14"/>
  <c r="AB43" i="14" s="1"/>
  <c r="AC43" i="14" s="1"/>
  <c r="AH43" i="14" s="1"/>
  <c r="AI43" i="14" s="1"/>
  <c r="AA44" i="14"/>
  <c r="AB44" i="14"/>
  <c r="AC44" i="14" s="1"/>
  <c r="AH44" i="14" s="1"/>
  <c r="AI44" i="14" s="1"/>
  <c r="AA45" i="14"/>
  <c r="AB45" i="14" s="1"/>
  <c r="AC45" i="14" s="1"/>
  <c r="AH45" i="14" s="1"/>
  <c r="AI45" i="14" s="1"/>
  <c r="AA46" i="14"/>
  <c r="AB46" i="14" s="1"/>
  <c r="AC46" i="14" s="1"/>
  <c r="AI46" i="14" s="1"/>
  <c r="AA47" i="14"/>
  <c r="AB47" i="14" s="1"/>
  <c r="AC47" i="14" s="1"/>
  <c r="AI47" i="14" s="1"/>
  <c r="AA48" i="14"/>
  <c r="AB48" i="14"/>
  <c r="AC48" i="14" s="1"/>
  <c r="AI48" i="14" s="1"/>
  <c r="AA49" i="14"/>
  <c r="AB49" i="14" s="1"/>
  <c r="AC49" i="14" s="1"/>
  <c r="AI49" i="14" s="1"/>
  <c r="AB29" i="16"/>
  <c r="AC29" i="16" s="1"/>
  <c r="AH29" i="16" s="1"/>
  <c r="AI29" i="16" s="1"/>
  <c r="AA29" i="16"/>
  <c r="AA28" i="16"/>
  <c r="AB28" i="16" s="1"/>
  <c r="AC28" i="16" s="1"/>
  <c r="AH28" i="16" s="1"/>
  <c r="AI28" i="16" s="1"/>
  <c r="AA27" i="16"/>
  <c r="AB27" i="16" s="1"/>
  <c r="AC27" i="16" s="1"/>
  <c r="AH27" i="16" s="1"/>
  <c r="AI27" i="16" s="1"/>
  <c r="AA26" i="16"/>
  <c r="AB26" i="16" s="1"/>
  <c r="AC26" i="16" s="1"/>
  <c r="AH26" i="16" s="1"/>
  <c r="AI26" i="16" s="1"/>
  <c r="AA25" i="16"/>
  <c r="AB25" i="16" s="1"/>
  <c r="AC25" i="16" s="1"/>
  <c r="AH25" i="16" s="1"/>
  <c r="AI25" i="16" s="1"/>
  <c r="AA23" i="16"/>
  <c r="AB23" i="16" s="1"/>
  <c r="AC23" i="16" s="1"/>
  <c r="AH23" i="16" s="1"/>
  <c r="AI23" i="16" s="1"/>
  <c r="AA22" i="16"/>
  <c r="AB22" i="16" s="1"/>
  <c r="AC22" i="16" s="1"/>
  <c r="AH22" i="16" s="1"/>
  <c r="AI22" i="16" s="1"/>
  <c r="AA21" i="16"/>
  <c r="AB21" i="16" s="1"/>
  <c r="AC21" i="16" s="1"/>
  <c r="AH21" i="16" s="1"/>
  <c r="AI21" i="16" s="1"/>
  <c r="AB20" i="16"/>
  <c r="AC20" i="16" s="1"/>
  <c r="AH20" i="16" s="1"/>
  <c r="AI20" i="16" s="1"/>
  <c r="AA20" i="16"/>
  <c r="AB19" i="16"/>
  <c r="AC19" i="16" s="1"/>
  <c r="AH19" i="16" s="1"/>
  <c r="AI19" i="16" s="1"/>
  <c r="AA19" i="16"/>
  <c r="AA18" i="16"/>
  <c r="AB18" i="16" s="1"/>
  <c r="AC18" i="16" s="1"/>
  <c r="AH18" i="16" s="1"/>
  <c r="AI18" i="16" s="1"/>
  <c r="AA17" i="16"/>
  <c r="AB17" i="16" s="1"/>
  <c r="AC17" i="16" s="1"/>
  <c r="AH17" i="16" s="1"/>
  <c r="AI17" i="16" s="1"/>
  <c r="AA16" i="16"/>
  <c r="AB16" i="16" s="1"/>
  <c r="AC16" i="16" s="1"/>
  <c r="AH16" i="16" s="1"/>
  <c r="AI16" i="16" s="1"/>
  <c r="AA15" i="16"/>
  <c r="AB15" i="16" s="1"/>
  <c r="AC15" i="16" s="1"/>
  <c r="AH15" i="16" s="1"/>
  <c r="AI15" i="16" s="1"/>
  <c r="AA28" i="15"/>
  <c r="AB28" i="15" s="1"/>
  <c r="AC28" i="15" s="1"/>
  <c r="AH28" i="15" s="1"/>
  <c r="AI28" i="15" s="1"/>
  <c r="AC27" i="15"/>
  <c r="AH27" i="15" s="1"/>
  <c r="AI27" i="15" s="1"/>
  <c r="AB27" i="15"/>
  <c r="AA27" i="15"/>
  <c r="AA26" i="15"/>
  <c r="AB26" i="15" s="1"/>
  <c r="AC26" i="15" s="1"/>
  <c r="AH26" i="15" s="1"/>
  <c r="AI26" i="15" s="1"/>
  <c r="AA25" i="15"/>
  <c r="AB25" i="15" s="1"/>
  <c r="AC25" i="15" s="1"/>
  <c r="AH25" i="15" s="1"/>
  <c r="AI25" i="15" s="1"/>
  <c r="AB24" i="15"/>
  <c r="AC24" i="15" s="1"/>
  <c r="AH24" i="15" s="1"/>
  <c r="AI24" i="15" s="1"/>
  <c r="AA24" i="15"/>
  <c r="AB23" i="15"/>
  <c r="AC23" i="15" s="1"/>
  <c r="AH23" i="15" s="1"/>
  <c r="AI23" i="15" s="1"/>
  <c r="AA23" i="15"/>
  <c r="AA22" i="15"/>
  <c r="AB22" i="15" s="1"/>
  <c r="AC22" i="15" s="1"/>
  <c r="AH22" i="15" s="1"/>
  <c r="AI22" i="15" s="1"/>
  <c r="AA21" i="15"/>
  <c r="AB21" i="15" s="1"/>
  <c r="AC21" i="15" s="1"/>
  <c r="AH21" i="15" s="1"/>
  <c r="AI21" i="15" s="1"/>
  <c r="AB20" i="15"/>
  <c r="AC20" i="15" s="1"/>
  <c r="AH20" i="15" s="1"/>
  <c r="AI20" i="15" s="1"/>
  <c r="AA20" i="15"/>
  <c r="AA19" i="15"/>
  <c r="AB19" i="15" s="1"/>
  <c r="AC19" i="15" s="1"/>
  <c r="AH19" i="15" s="1"/>
  <c r="AI19" i="15" s="1"/>
  <c r="AA18" i="15"/>
  <c r="AB18" i="15" s="1"/>
  <c r="AC18" i="15" s="1"/>
  <c r="AH18" i="15" s="1"/>
  <c r="AI18" i="15" s="1"/>
  <c r="AA17" i="15"/>
  <c r="AB17" i="15" s="1"/>
  <c r="AC17" i="15" s="1"/>
  <c r="AH17" i="15" s="1"/>
  <c r="AI17" i="15" s="1"/>
  <c r="AA16" i="15"/>
  <c r="AB16" i="15" s="1"/>
  <c r="AC16" i="15" s="1"/>
  <c r="AH16" i="15" s="1"/>
  <c r="AI16" i="15" s="1"/>
  <c r="AA15" i="15"/>
  <c r="AB15" i="15" s="1"/>
  <c r="AC15" i="15" s="1"/>
  <c r="AH15" i="15" s="1"/>
  <c r="AI15" i="15" s="1"/>
  <c r="AA15" i="14" l="1"/>
  <c r="AB15" i="14" s="1"/>
  <c r="AC15" i="14" s="1"/>
  <c r="AH15" i="14" s="1"/>
  <c r="AI15" i="14" s="1"/>
  <c r="AA23" i="14" l="1"/>
  <c r="AB23" i="14" s="1"/>
  <c r="AA18" i="14"/>
  <c r="AB18" i="14" s="1"/>
  <c r="AC23" i="14" l="1"/>
  <c r="AH23" i="14" s="1"/>
  <c r="AI23" i="14" s="1"/>
  <c r="AC18" i="14" l="1"/>
  <c r="AH18" i="14" s="1"/>
  <c r="AI18" i="14" s="1"/>
  <c r="AA16" i="14"/>
  <c r="AB16" i="14" s="1"/>
  <c r="AC16" i="14" s="1"/>
  <c r="AH16" i="14" s="1"/>
  <c r="AI16" i="14" s="1"/>
  <c r="AA17" i="14"/>
  <c r="AB17" i="14" s="1"/>
  <c r="AC17" i="14" s="1"/>
  <c r="AH17" i="14" s="1"/>
  <c r="AI17" i="14" s="1"/>
  <c r="AA19" i="14"/>
  <c r="AB19" i="14" s="1"/>
  <c r="AC19" i="14" s="1"/>
  <c r="AH19" i="14" s="1"/>
  <c r="AI19" i="14" s="1"/>
  <c r="AA20" i="14"/>
  <c r="AB20" i="14" s="1"/>
  <c r="AC20" i="14" s="1"/>
  <c r="AH20" i="14" s="1"/>
  <c r="AI20" i="14" s="1"/>
  <c r="AA21" i="14"/>
  <c r="AB21" i="14" s="1"/>
  <c r="AC21" i="14" s="1"/>
  <c r="AH21" i="14" s="1"/>
  <c r="AI21" i="14" s="1"/>
  <c r="AA22" i="14"/>
  <c r="AB22" i="14" s="1"/>
  <c r="AC22" i="14" s="1"/>
  <c r="AH22" i="14" s="1"/>
  <c r="AI22" i="14" s="1"/>
  <c r="AA24" i="14"/>
  <c r="AB24" i="14" s="1"/>
  <c r="AC24" i="14" s="1"/>
  <c r="AH24" i="14" s="1"/>
  <c r="AI24" i="14" s="1"/>
  <c r="AA25" i="14"/>
  <c r="AB25" i="14" s="1"/>
  <c r="AC25" i="14" s="1"/>
  <c r="AH25" i="14" s="1"/>
  <c r="AI25" i="14" s="1"/>
  <c r="AA26" i="14"/>
  <c r="AB26" i="14" s="1"/>
  <c r="AC26" i="14" s="1"/>
  <c r="AH26" i="14" s="1"/>
  <c r="AI26" i="14" s="1"/>
  <c r="AA27" i="14"/>
  <c r="AB27" i="14" s="1"/>
  <c r="AC27" i="14" s="1"/>
  <c r="AH27" i="14" s="1"/>
  <c r="AI27" i="14" s="1"/>
  <c r="AA28" i="14"/>
  <c r="AB28" i="14" s="1"/>
  <c r="AC28" i="14" s="1"/>
  <c r="AH28" i="14" s="1"/>
  <c r="AI28" i="14" s="1"/>
</calcChain>
</file>

<file path=xl/sharedStrings.xml><?xml version="1.0" encoding="utf-8"?>
<sst xmlns="http://schemas.openxmlformats.org/spreadsheetml/2006/main" count="434" uniqueCount="166">
  <si>
    <t>SEXO</t>
  </si>
  <si>
    <t>M</t>
  </si>
  <si>
    <t>RESULTADO</t>
  </si>
  <si>
    <t>N.º</t>
  </si>
  <si>
    <t xml:space="preserve">N.º </t>
  </si>
  <si>
    <t>ORDEM</t>
  </si>
  <si>
    <t>PROC.</t>
  </si>
  <si>
    <t>FALTAS</t>
  </si>
  <si>
    <t>J</t>
  </si>
  <si>
    <t>I</t>
  </si>
  <si>
    <t>OBSERVAÇÃO:</t>
  </si>
  <si>
    <t>OBSERVAÇÃO</t>
  </si>
  <si>
    <t xml:space="preserve">                                                                                           </t>
  </si>
  <si>
    <t xml:space="preserve">       O SUBDIRECTOR PEDAGÓGICO</t>
  </si>
  <si>
    <t>DATA DO CONSELHO DE TURMA</t>
  </si>
  <si>
    <t>_______/_______/_______</t>
  </si>
  <si>
    <t xml:space="preserve">    O DIRECTOR</t>
  </si>
  <si>
    <t>PORTUGUÊS - CFD</t>
  </si>
  <si>
    <t>INGLÊS - CFD</t>
  </si>
  <si>
    <t>F.A.I - CFD</t>
  </si>
  <si>
    <t>ED. FÍS - CFD</t>
  </si>
  <si>
    <t>QUÍMICA - CFD</t>
  </si>
  <si>
    <t>DESEN. TÉCN - CFD</t>
  </si>
  <si>
    <t>DISCIPLINAS TERMINAIS</t>
  </si>
  <si>
    <t>CFD</t>
  </si>
  <si>
    <t>MATEMÁTICA - CFD</t>
  </si>
  <si>
    <t>FÍSICA - CFD</t>
  </si>
  <si>
    <t>O.G.I - CFD</t>
  </si>
  <si>
    <t>EMPREE - CFD</t>
  </si>
  <si>
    <t>E. C.S</t>
  </si>
  <si>
    <t>CA - 12ª</t>
  </si>
  <si>
    <t>CA - 13ª</t>
  </si>
  <si>
    <t>PAP</t>
  </si>
  <si>
    <t>_________________________________</t>
  </si>
  <si>
    <t>FERREIRA MANUEL FRAGOSO, Ph,D</t>
  </si>
  <si>
    <t xml:space="preserve">        DATA:_____/_____/_____</t>
  </si>
  <si>
    <t xml:space="preserve">       </t>
  </si>
  <si>
    <t>APROVADO</t>
  </si>
  <si>
    <t>REPROVADO</t>
  </si>
  <si>
    <t xml:space="preserve">                ____________________________________________</t>
  </si>
  <si>
    <t xml:space="preserve">                                O COORDENADOR DE CURSO</t>
  </si>
  <si>
    <t xml:space="preserve">                   ________________________________</t>
  </si>
  <si>
    <t>NOME COMPLETO</t>
  </si>
  <si>
    <t>MÉDIA FINAL</t>
  </si>
  <si>
    <t>MFT2</t>
  </si>
  <si>
    <t>MAC3</t>
  </si>
  <si>
    <t>PP3</t>
  </si>
  <si>
    <t>MT3</t>
  </si>
  <si>
    <t>PROJECTO TECNOLÓGICO</t>
  </si>
  <si>
    <t>PC</t>
  </si>
  <si>
    <t xml:space="preserve">              _____________________________________________</t>
  </si>
  <si>
    <t xml:space="preserve">             ENG.º CARLOS ALBERTO BRITO TEIXEIRA DA SILVA</t>
  </si>
  <si>
    <t xml:space="preserve">               O DIRECTOR DE TURMA</t>
  </si>
  <si>
    <t xml:space="preserve">                                                                                  ENG.º DIASILUA PAULO SIMÃO</t>
  </si>
  <si>
    <t>ELECTROTECNIA - CFD</t>
  </si>
  <si>
    <t>T.L.P - CFD</t>
  </si>
  <si>
    <t>T.R.E.I - CFD</t>
  </si>
  <si>
    <t>S.E.A.C - CFD</t>
  </si>
  <si>
    <t>T.I.C - CFD</t>
  </si>
  <si>
    <t>INGLÊS TECN. - CFD</t>
  </si>
  <si>
    <t>DIASILUA SIMÃO</t>
  </si>
  <si>
    <r>
      <t xml:space="preserve">       </t>
    </r>
    <r>
      <rPr>
        <b/>
        <sz val="12"/>
        <color rgb="FF002060"/>
        <rFont val="Century Gothic"/>
        <family val="2"/>
      </rPr>
      <t>TURMA: INF</t>
    </r>
    <r>
      <rPr>
        <sz val="12"/>
        <color rgb="FF002060"/>
        <rFont val="Century Gothic"/>
        <family val="2"/>
      </rPr>
      <t>13AT</t>
    </r>
  </si>
  <si>
    <t xml:space="preserve">                   ENG.ª JÉSSICA LORENA GUMBE</t>
  </si>
  <si>
    <t>FLORINDA NGANDA</t>
  </si>
  <si>
    <t xml:space="preserve">                                       PAUTA FINAL DA 13ª CLASSE</t>
  </si>
  <si>
    <r>
      <t xml:space="preserve">                            </t>
    </r>
    <r>
      <rPr>
        <b/>
        <sz val="12"/>
        <color rgb="FF002060"/>
        <rFont val="Century Gothic"/>
        <family val="2"/>
      </rPr>
      <t>ANO LECTIVO:</t>
    </r>
    <r>
      <rPr>
        <sz val="12"/>
        <color rgb="FF002060"/>
        <rFont val="Century Gothic"/>
        <family val="2"/>
      </rPr>
      <t xml:space="preserve"> 2025/2026</t>
    </r>
  </si>
  <si>
    <t>Adão Firmino Augusto</t>
  </si>
  <si>
    <t>Afonso Muzabi Álvaro</t>
  </si>
  <si>
    <t>Albano Sawende Fernandes Cortez</t>
  </si>
  <si>
    <t>Alberto Lucas António</t>
  </si>
  <si>
    <t>António Mota Cataca</t>
  </si>
  <si>
    <t>Ariete Lúcia Sussa</t>
  </si>
  <si>
    <t>Carlos Simão Domingos Bartolomeu</t>
  </si>
  <si>
    <t>Cláudio Octávio Fernando Pereira</t>
  </si>
  <si>
    <t>Cosme João Ngongolo Domingos</t>
  </si>
  <si>
    <t>Domingos da Cunha Jaime Pinto</t>
  </si>
  <si>
    <t>Francisco Manuel Vunda Prata</t>
  </si>
  <si>
    <t>Hamilton de Jesus de Brito Domingos</t>
  </si>
  <si>
    <t>Herasme de Jesus Kambaki Watchitua</t>
  </si>
  <si>
    <t>Herman Manuel Januário</t>
  </si>
  <si>
    <t>Inácio Nataniel Panzo Bocolo</t>
  </si>
  <si>
    <t>Isabel Numa Lopes</t>
  </si>
  <si>
    <t>João Alfredo Monteiro Bamba</t>
  </si>
  <si>
    <t>João Segunda Vieira</t>
  </si>
  <si>
    <t>José Francisco António Baltazar</t>
  </si>
  <si>
    <t>Laureth Vunda Dos Santos</t>
  </si>
  <si>
    <t>Lídia Celestino Gabriel</t>
  </si>
  <si>
    <t>Luciana Elisa António Molo</t>
  </si>
  <si>
    <t>Manuel Macasso António</t>
  </si>
  <si>
    <t>Marcelo Luís Sebastião Pascoal</t>
  </si>
  <si>
    <t>Mário Marcelo Tavare</t>
  </si>
  <si>
    <t>Mirian Manuel Vasco</t>
  </si>
  <si>
    <t>Pangula António Manuel Canhanga</t>
  </si>
  <si>
    <t>Paulo Cabaça Segunda</t>
  </si>
  <si>
    <t>Raquel Lutumba Sango</t>
  </si>
  <si>
    <t>Teresa Cardoso Caculo</t>
  </si>
  <si>
    <t>Valter Pedro Antonio Lopes</t>
  </si>
  <si>
    <t xml:space="preserve">Hamilton Garcia Sebastião Pedro </t>
  </si>
  <si>
    <t>Hugo Marcelino Sabalo Cafaia</t>
  </si>
  <si>
    <t xml:space="preserve">Jurema Vudissa Bernardo </t>
  </si>
  <si>
    <t xml:space="preserve">Marlene Sofia Manuel Cafala </t>
  </si>
  <si>
    <t>F</t>
  </si>
  <si>
    <t xml:space="preserve"> INSTITUTO POLITÉCNICO INDUSTRIAL Nº 8050 LDA - "NOVA VIDA" - KILAMBA KIAXI</t>
  </si>
  <si>
    <r>
      <t xml:space="preserve">                                        </t>
    </r>
    <r>
      <rPr>
        <b/>
        <sz val="14"/>
        <color rgb="FF002060"/>
        <rFont val="Century Gothic"/>
        <family val="2"/>
      </rPr>
      <t>ÁREA DE FORMAÇÃO DE</t>
    </r>
    <r>
      <rPr>
        <sz val="14"/>
        <color rgb="FF002060"/>
        <rFont val="Century Gothic"/>
        <family val="2"/>
      </rPr>
      <t xml:space="preserve"> </t>
    </r>
    <r>
      <rPr>
        <b/>
        <sz val="14"/>
        <color rgb="FF00B050"/>
        <rFont val="Century Gothic"/>
        <family val="2"/>
      </rPr>
      <t>INFORMÁTICA</t>
    </r>
  </si>
  <si>
    <r>
      <t xml:space="preserve">                                          </t>
    </r>
    <r>
      <rPr>
        <b/>
        <sz val="14"/>
        <color rgb="FF002060"/>
        <rFont val="Century Gothic"/>
        <family val="2"/>
      </rPr>
      <t>CURSO DE</t>
    </r>
    <r>
      <rPr>
        <sz val="14"/>
        <color rgb="FF002060"/>
        <rFont val="Century Gothic"/>
        <family val="2"/>
      </rPr>
      <t xml:space="preserve"> </t>
    </r>
    <r>
      <rPr>
        <b/>
        <sz val="14"/>
        <color rgb="FF00B050"/>
        <rFont val="Century Gothic"/>
        <family val="2"/>
      </rPr>
      <t>INFORMÁTICA</t>
    </r>
  </si>
  <si>
    <t>Adão Luís Caetano</t>
  </si>
  <si>
    <t>Afrânio João Cambongo Manuel</t>
  </si>
  <si>
    <t>Aldair Luís Fernando Bunga</t>
  </si>
  <si>
    <t>Bikindo Wasisua Ngoma Manuel</t>
  </si>
  <si>
    <t>Cristóvão Domingos Micolo Selela</t>
  </si>
  <si>
    <t>Cristóvão de Carvalho Quinama</t>
  </si>
  <si>
    <t>Daniel Santana Cardoso</t>
  </si>
  <si>
    <t>Dionísio Walipi Muneilowe Wayaha</t>
  </si>
  <si>
    <t>Edson Mundjanga Mulangui Caolo</t>
  </si>
  <si>
    <t>Elvira Bartolomeu Muxiri</t>
  </si>
  <si>
    <t>Fabio João Zaro Gando</t>
  </si>
  <si>
    <t>Flávio Manuel Ngombo Félix</t>
  </si>
  <si>
    <t>Francisco Tenda Pongo</t>
  </si>
  <si>
    <t>Gildo Simão Lourenço</t>
  </si>
  <si>
    <t>Hélvio Francisco Fuji José</t>
  </si>
  <si>
    <t>Hila do Rosário Suende Cazengo</t>
  </si>
  <si>
    <t>Inácio Fernandes Da Rosa</t>
  </si>
  <si>
    <t>Isabel Lumeni Francisco Agostinho</t>
  </si>
  <si>
    <t>Jaqueline Manuel Dambi</t>
  </si>
  <si>
    <t>José David Muanza</t>
  </si>
  <si>
    <t>José Irineu Chindandi Baptista</t>
  </si>
  <si>
    <t>Kiesse António Pinto Nzinga</t>
  </si>
  <si>
    <t xml:space="preserve">Maria de Fátima Nkanuampofo </t>
  </si>
  <si>
    <t>Pedro Kinanvuidi Simão</t>
  </si>
  <si>
    <t>Ruben Alberto Massala Dombaxe</t>
  </si>
  <si>
    <t>Simão Ntonto David Dielumbaka</t>
  </si>
  <si>
    <t>Sónia Maria Portela Picada</t>
  </si>
  <si>
    <t>Teofelo Lisboa Da Costa</t>
  </si>
  <si>
    <t xml:space="preserve">Fernando Domingos Cambulo </t>
  </si>
  <si>
    <t xml:space="preserve">Rosa Fernanda da Silva Cambinda </t>
  </si>
  <si>
    <t>Viriato Sebastião Victor</t>
  </si>
  <si>
    <t>Ailton Alexandre de Jesus Pedro</t>
  </si>
  <si>
    <t xml:space="preserve">Bernardo Nkosi João </t>
  </si>
  <si>
    <t>Cleusia de Jesus Francisco da Silva</t>
  </si>
  <si>
    <t>Daniel Alexandre da Silva de Abreu Ribeiro</t>
  </si>
  <si>
    <t>Délcio Antóni Gonçalves de Carvalho</t>
  </si>
  <si>
    <t>Delcio Cabingano Força Lopes</t>
  </si>
  <si>
    <t>Dumilde Ariel Martins Cahalo</t>
  </si>
  <si>
    <t>Edileusio Emanuel Angelino de Matos</t>
  </si>
  <si>
    <t>Felícia Esperança Ngunga</t>
  </si>
  <si>
    <t>Gorete Elizandra Pereira Baião</t>
  </si>
  <si>
    <t>Helder carlos do Nascimento Katchimbenda</t>
  </si>
  <si>
    <t>Hugo Carlos Muassumbo Israel</t>
  </si>
  <si>
    <t>Iban Ribas Manuel</t>
  </si>
  <si>
    <t>Ilídio Divangue Domingos de Oliveira</t>
  </si>
  <si>
    <t>João Bengui Emanuel</t>
  </si>
  <si>
    <t>Leonor Afonso Ndembo Kuadikuenda</t>
  </si>
  <si>
    <t>Licéiro Ticínio Monteiro Sampaio</t>
  </si>
  <si>
    <t>Lídia Consolação Lucau Nimi</t>
  </si>
  <si>
    <t>Luís Kalvin Pinto Balsa</t>
  </si>
  <si>
    <t>Manuel Mpunguidi Dokuta</t>
  </si>
  <si>
    <t>Marcos Julay Fragoso do Amaral</t>
  </si>
  <si>
    <t>Mário Júnior Quilende Nascimento</t>
  </si>
  <si>
    <t>Nsingui Tomás Kodia Pedro</t>
  </si>
  <si>
    <t>Rafael Gomes Correia</t>
  </si>
  <si>
    <t>Ricardo Israel</t>
  </si>
  <si>
    <t>Tiago Alexandre Almeida Augusto Correia</t>
  </si>
  <si>
    <t>DESISTENTE</t>
  </si>
  <si>
    <t>VICTORIANO</t>
  </si>
  <si>
    <t>Edi Bokoxi</t>
  </si>
  <si>
    <t>Carlos Ivandro Neves Correia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</si>
</sst>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rgb="FF002060"/>
      <name val="Century Gothic"/>
      <family val="2"/>
    </font>
    <font>
      <b/>
      <sz val="10"/>
      <color rgb="FF002060"/>
      <name val="Century Gothic"/>
      <family val="2"/>
    </font>
    <font>
      <sz val="12"/>
      <color rgb="FF002060"/>
      <name val="Century Gothic"/>
      <family val="2"/>
    </font>
    <font>
      <b/>
      <sz val="12"/>
      <color rgb="FF002060"/>
      <name val="Century Gothic"/>
      <family val="2"/>
    </font>
    <font>
      <sz val="14"/>
      <color rgb="FF002060"/>
      <name val="Century Gothic"/>
      <family val="2"/>
    </font>
    <font>
      <b/>
      <sz val="14"/>
      <color rgb="FF002060"/>
      <name val="Century Gothic"/>
      <family val="2"/>
    </font>
    <font>
      <sz val="10"/>
      <color rgb="FFFF0000"/>
      <name val="Century Gothic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6"/>
      <color rgb="FF00B050"/>
      <name val="Century Gothic"/>
      <family val="2"/>
    </font>
    <font>
      <b/>
      <sz val="10"/>
      <color rgb="FF00B050"/>
      <name val="Century Gothic"/>
      <family val="2"/>
    </font>
    <font>
      <b/>
      <sz val="9"/>
      <color rgb="FF002060"/>
      <name val="Century Gothic"/>
      <family val="2"/>
    </font>
    <font>
      <sz val="11"/>
      <color rgb="FF002060"/>
      <name val="Century Gothic"/>
      <family val="2"/>
    </font>
    <font>
      <b/>
      <sz val="14"/>
      <color rgb="FF00B05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 style="medium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medium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/>
      <right style="thin">
        <color rgb="FF002060"/>
      </right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17" xfId="0" applyBorder="1"/>
    <xf numFmtId="0" fontId="2" fillId="0" borderId="3" xfId="0" applyFont="1" applyBorder="1"/>
    <xf numFmtId="0" fontId="1" fillId="0" borderId="12" xfId="0" applyFont="1" applyBorder="1" applyAlignment="1">
      <alignment horizontal="center"/>
    </xf>
    <xf numFmtId="0" fontId="0" fillId="0" borderId="11" xfId="0" applyBorder="1"/>
    <xf numFmtId="0" fontId="0" fillId="0" borderId="22" xfId="0" applyBorder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" fillId="2" borderId="12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" fillId="0" borderId="19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/>
    </xf>
    <xf numFmtId="0" fontId="3" fillId="2" borderId="20" xfId="0" applyFont="1" applyFill="1" applyBorder="1" applyAlignment="1">
      <alignment horizontal="center" textRotation="90"/>
    </xf>
    <xf numFmtId="0" fontId="12" fillId="3" borderId="1" xfId="0" applyFont="1" applyFill="1" applyBorder="1" applyAlignment="1">
      <alignment horizontal="center" textRotation="90"/>
    </xf>
    <xf numFmtId="0" fontId="12" fillId="3" borderId="2" xfId="0" applyFont="1" applyFill="1" applyBorder="1" applyAlignment="1">
      <alignment horizontal="center" textRotation="90"/>
    </xf>
    <xf numFmtId="0" fontId="12" fillId="3" borderId="20" xfId="0" applyFont="1" applyFill="1" applyBorder="1" applyAlignment="1">
      <alignment horizontal="center" textRotation="90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27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 textRotation="90"/>
    </xf>
    <xf numFmtId="0" fontId="12" fillId="3" borderId="16" xfId="0" applyFont="1" applyFill="1" applyBorder="1" applyAlignment="1">
      <alignment horizontal="center" textRotation="90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 textRotation="90"/>
    </xf>
    <xf numFmtId="0" fontId="12" fillId="3" borderId="30" xfId="0" applyFont="1" applyFill="1" applyBorder="1" applyAlignment="1">
      <alignment horizontal="center" textRotation="90"/>
    </xf>
    <xf numFmtId="0" fontId="12" fillId="3" borderId="25" xfId="0" applyFont="1" applyFill="1" applyBorder="1" applyAlignment="1">
      <alignment horizontal="center" textRotation="90"/>
    </xf>
    <xf numFmtId="0" fontId="12" fillId="3" borderId="35" xfId="0" applyFont="1" applyFill="1" applyBorder="1" applyAlignment="1">
      <alignment horizontal="center" textRotation="90"/>
    </xf>
    <xf numFmtId="0" fontId="12" fillId="3" borderId="26" xfId="0" applyFont="1" applyFill="1" applyBorder="1" applyAlignment="1">
      <alignment horizontal="center" textRotation="90"/>
    </xf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2" fillId="3" borderId="23" xfId="0" applyFont="1" applyFill="1" applyBorder="1" applyAlignment="1">
      <alignment horizontal="center" textRotation="90"/>
    </xf>
    <xf numFmtId="0" fontId="12" fillId="3" borderId="32" xfId="0" applyFont="1" applyFill="1" applyBorder="1" applyAlignment="1">
      <alignment horizontal="center" textRotation="90"/>
    </xf>
    <xf numFmtId="0" fontId="12" fillId="3" borderId="24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textRotation="90"/>
    </xf>
    <xf numFmtId="0" fontId="2" fillId="2" borderId="20" xfId="0" applyFont="1" applyFill="1" applyBorder="1" applyAlignment="1">
      <alignment horizontal="center" textRotation="90"/>
    </xf>
    <xf numFmtId="0" fontId="12" fillId="3" borderId="36" xfId="0" applyFont="1" applyFill="1" applyBorder="1" applyAlignment="1">
      <alignment horizontal="center" textRotation="90"/>
    </xf>
    <xf numFmtId="0" fontId="12" fillId="3" borderId="33" xfId="0" applyFont="1" applyFill="1" applyBorder="1" applyAlignment="1">
      <alignment horizontal="center" textRotation="90"/>
    </xf>
    <xf numFmtId="0" fontId="12" fillId="3" borderId="34" xfId="0" applyFont="1" applyFill="1" applyBorder="1" applyAlignment="1">
      <alignment horizontal="center" textRotation="90"/>
    </xf>
    <xf numFmtId="0" fontId="12" fillId="3" borderId="28" xfId="0" applyFont="1" applyFill="1" applyBorder="1" applyAlignment="1">
      <alignment horizontal="center" textRotation="90"/>
    </xf>
  </cellXfs>
  <cellStyles count="2">
    <cellStyle name="Normal" xfId="0" builtinId="0"/>
    <cellStyle name="Porcentagem" xfId="1" builtinId="5"/>
  </cellStyles>
  <dxfs count="38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238788</xdr:colOff>
      <xdr:row>0</xdr:row>
      <xdr:rowOff>0</xdr:rowOff>
    </xdr:from>
    <xdr:to>
      <xdr:col>18</xdr:col>
      <xdr:colOff>38471</xdr:colOff>
      <xdr:row>4</xdr:row>
      <xdr:rowOff>31750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7661424B-90C8-4442-A2E8-2C865CE1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4313" y="0"/>
          <a:ext cx="790283" cy="79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238788</xdr:colOff>
      <xdr:row>0</xdr:row>
      <xdr:rowOff>0</xdr:rowOff>
    </xdr:from>
    <xdr:to>
      <xdr:col>18</xdr:col>
      <xdr:colOff>38471</xdr:colOff>
      <xdr:row>4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661424B-90C8-4442-A2E8-2C865CE1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4313" y="0"/>
          <a:ext cx="790283" cy="793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238788</xdr:colOff>
      <xdr:row>0</xdr:row>
      <xdr:rowOff>0</xdr:rowOff>
    </xdr:from>
    <xdr:to>
      <xdr:col>18</xdr:col>
      <xdr:colOff>38471</xdr:colOff>
      <xdr:row>4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661424B-90C8-4442-A2E8-2C865CE1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4313" y="0"/>
          <a:ext cx="790283" cy="79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64"/>
  <sheetViews>
    <sheetView tabSelected="1" topLeftCell="A10" zoomScaleNormal="100" workbookViewId="0">
      <selection activeCell="Z15" sqref="Z15"/>
    </sheetView>
  </sheetViews>
  <sheetFormatPr defaultRowHeight="15" x14ac:dyDescent="0.25"/>
  <cols>
    <col min="1" max="1" width="6.85546875" customWidth="1"/>
    <col min="2" max="2" width="6.28515625" customWidth="1"/>
    <col min="3" max="3" width="37.5703125" customWidth="1"/>
    <col min="4" max="4" width="3.85546875" customWidth="1"/>
    <col min="5" max="5" width="3.5703125" customWidth="1"/>
    <col min="6" max="20" width="3.7109375" customWidth="1"/>
    <col min="21" max="21" width="3.42578125" customWidth="1"/>
    <col min="22" max="22" width="3.5703125" customWidth="1"/>
    <col min="23" max="23" width="3.42578125" customWidth="1"/>
    <col min="24" max="26" width="3.7109375" customWidth="1"/>
    <col min="27" max="27" width="3.42578125" customWidth="1"/>
    <col min="28" max="28" width="3.5703125" customWidth="1"/>
    <col min="29" max="29" width="4.140625" customWidth="1"/>
    <col min="30" max="30" width="3.28515625" customWidth="1"/>
    <col min="31" max="32" width="3.42578125" customWidth="1"/>
    <col min="33" max="33" width="4.42578125" customWidth="1"/>
    <col min="34" max="34" width="4" customWidth="1"/>
    <col min="35" max="35" width="5" customWidth="1"/>
    <col min="36" max="36" width="15.5703125" customWidth="1"/>
    <col min="37" max="37" width="12.5703125" customWidth="1"/>
  </cols>
  <sheetData>
    <row r="5" spans="1:37" ht="18" customHeight="1" x14ac:dyDescent="0.3">
      <c r="A5" s="14"/>
      <c r="B5" s="13" t="s">
        <v>16</v>
      </c>
      <c r="C5" s="19"/>
      <c r="D5" s="16" t="s">
        <v>102</v>
      </c>
      <c r="K5" s="16"/>
    </row>
    <row r="6" spans="1:37" ht="18.75" x14ac:dyDescent="0.3">
      <c r="A6" s="13" t="s">
        <v>33</v>
      </c>
      <c r="C6" s="13"/>
      <c r="D6" s="15" t="s">
        <v>103</v>
      </c>
      <c r="K6" s="15"/>
    </row>
    <row r="7" spans="1:37" ht="18.75" x14ac:dyDescent="0.3">
      <c r="A7" s="13" t="s">
        <v>34</v>
      </c>
      <c r="F7" s="15" t="s">
        <v>104</v>
      </c>
      <c r="O7" s="15"/>
    </row>
    <row r="8" spans="1:37" ht="17.25" x14ac:dyDescent="0.3">
      <c r="A8" s="13" t="s">
        <v>35</v>
      </c>
    </row>
    <row r="9" spans="1:37" ht="20.25" x14ac:dyDescent="0.3">
      <c r="D9" s="40" t="s">
        <v>64</v>
      </c>
    </row>
    <row r="10" spans="1:37" ht="17.25" x14ac:dyDescent="0.3">
      <c r="A10" s="13" t="s">
        <v>12</v>
      </c>
      <c r="C10" s="13" t="s">
        <v>65</v>
      </c>
      <c r="K10" s="13"/>
      <c r="AB10" s="13" t="s">
        <v>61</v>
      </c>
    </row>
    <row r="11" spans="1:37" ht="15.75" thickBot="1" x14ac:dyDescent="0.3"/>
    <row r="12" spans="1:37" ht="15.75" customHeight="1" thickBot="1" x14ac:dyDescent="0.3">
      <c r="E12" s="90" t="s">
        <v>17</v>
      </c>
      <c r="F12" s="72" t="s">
        <v>18</v>
      </c>
      <c r="G12" s="72" t="s">
        <v>19</v>
      </c>
      <c r="H12" s="72" t="s">
        <v>20</v>
      </c>
      <c r="I12" s="72" t="s">
        <v>25</v>
      </c>
      <c r="J12" s="72" t="s">
        <v>26</v>
      </c>
      <c r="K12" s="72" t="s">
        <v>21</v>
      </c>
      <c r="L12" s="72" t="s">
        <v>54</v>
      </c>
      <c r="M12" s="72" t="s">
        <v>27</v>
      </c>
      <c r="N12" s="72" t="s">
        <v>28</v>
      </c>
      <c r="O12" s="72" t="s">
        <v>22</v>
      </c>
      <c r="P12" s="72" t="s">
        <v>55</v>
      </c>
      <c r="Q12" s="72" t="s">
        <v>56</v>
      </c>
      <c r="R12" s="72" t="s">
        <v>57</v>
      </c>
      <c r="S12" s="72" t="s">
        <v>58</v>
      </c>
      <c r="T12" s="84" t="s">
        <v>59</v>
      </c>
      <c r="U12" s="67" t="s">
        <v>48</v>
      </c>
      <c r="V12" s="68"/>
      <c r="W12" s="68"/>
      <c r="X12" s="68"/>
      <c r="Y12" s="68"/>
      <c r="Z12" s="68"/>
      <c r="AA12" s="68"/>
      <c r="AB12" s="68"/>
      <c r="AC12" s="69"/>
      <c r="AD12" s="67" t="s">
        <v>29</v>
      </c>
      <c r="AE12" s="68"/>
      <c r="AF12" s="69"/>
      <c r="AG12" s="57" t="s">
        <v>32</v>
      </c>
      <c r="AH12" s="54" t="s">
        <v>49</v>
      </c>
      <c r="AI12" s="54" t="s">
        <v>43</v>
      </c>
    </row>
    <row r="13" spans="1:37" ht="15" customHeight="1" x14ac:dyDescent="0.25">
      <c r="A13" s="53" t="s">
        <v>4</v>
      </c>
      <c r="B13" s="26" t="s">
        <v>3</v>
      </c>
      <c r="C13" s="75" t="s">
        <v>42</v>
      </c>
      <c r="D13" s="87" t="s">
        <v>0</v>
      </c>
      <c r="E13" s="91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85"/>
      <c r="U13" s="63" t="s">
        <v>7</v>
      </c>
      <c r="V13" s="64"/>
      <c r="W13" s="89" t="s">
        <v>30</v>
      </c>
      <c r="X13" s="70" t="s">
        <v>44</v>
      </c>
      <c r="Y13" s="70" t="s">
        <v>45</v>
      </c>
      <c r="Z13" s="70" t="s">
        <v>46</v>
      </c>
      <c r="AA13" s="70" t="s">
        <v>47</v>
      </c>
      <c r="AB13" s="70" t="s">
        <v>31</v>
      </c>
      <c r="AC13" s="65" t="s">
        <v>24</v>
      </c>
      <c r="AD13" s="63" t="s">
        <v>7</v>
      </c>
      <c r="AE13" s="64"/>
      <c r="AF13" s="65" t="s">
        <v>24</v>
      </c>
      <c r="AG13" s="58"/>
      <c r="AH13" s="55"/>
      <c r="AI13" s="55"/>
      <c r="AJ13" s="77" t="s">
        <v>11</v>
      </c>
      <c r="AK13" s="77" t="s">
        <v>2</v>
      </c>
    </row>
    <row r="14" spans="1:37" ht="76.5" customHeight="1" x14ac:dyDescent="0.25">
      <c r="A14" s="50" t="s">
        <v>5</v>
      </c>
      <c r="B14" s="49" t="s">
        <v>6</v>
      </c>
      <c r="C14" s="76"/>
      <c r="D14" s="88"/>
      <c r="E14" s="92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86"/>
      <c r="U14" s="47" t="s">
        <v>8</v>
      </c>
      <c r="V14" s="48" t="s">
        <v>9</v>
      </c>
      <c r="W14" s="70"/>
      <c r="X14" s="71"/>
      <c r="Y14" s="71"/>
      <c r="Z14" s="71"/>
      <c r="AA14" s="71"/>
      <c r="AB14" s="71"/>
      <c r="AC14" s="66"/>
      <c r="AD14" s="47" t="s">
        <v>8</v>
      </c>
      <c r="AE14" s="48" t="s">
        <v>9</v>
      </c>
      <c r="AF14" s="66"/>
      <c r="AG14" s="59"/>
      <c r="AH14" s="56"/>
      <c r="AI14" s="56"/>
      <c r="AJ14" s="78"/>
      <c r="AK14" s="78"/>
    </row>
    <row r="15" spans="1:37" ht="16.5" customHeight="1" x14ac:dyDescent="0.3">
      <c r="A15" s="18">
        <v>1</v>
      </c>
      <c r="B15" s="52">
        <v>7182</v>
      </c>
      <c r="C15" s="52" t="s">
        <v>66</v>
      </c>
      <c r="D15" s="51" t="s">
        <v>1</v>
      </c>
      <c r="E15" s="24">
        <v>12</v>
      </c>
      <c r="F15" s="24">
        <v>12</v>
      </c>
      <c r="G15" s="24">
        <v>14</v>
      </c>
      <c r="H15" s="24">
        <v>12</v>
      </c>
      <c r="I15" s="24">
        <v>10</v>
      </c>
      <c r="J15" s="24">
        <v>10</v>
      </c>
      <c r="K15" s="24">
        <v>13</v>
      </c>
      <c r="L15" s="24">
        <v>11</v>
      </c>
      <c r="M15" s="24">
        <v>11</v>
      </c>
      <c r="N15" s="24">
        <v>15</v>
      </c>
      <c r="O15" s="24">
        <v>12</v>
      </c>
      <c r="P15" s="21">
        <v>13</v>
      </c>
      <c r="Q15" s="21">
        <v>16</v>
      </c>
      <c r="R15" s="21">
        <v>13</v>
      </c>
      <c r="S15" s="32">
        <v>13</v>
      </c>
      <c r="T15" s="34">
        <v>12</v>
      </c>
      <c r="U15" s="23"/>
      <c r="V15" s="24"/>
      <c r="W15" s="24">
        <v>15</v>
      </c>
      <c r="X15" s="24"/>
      <c r="Y15" s="20"/>
      <c r="Z15" s="20"/>
      <c r="AA15" s="24">
        <f>ROUND((Y15+Z15)/2,0)</f>
        <v>0</v>
      </c>
      <c r="AB15" s="20">
        <f>ROUND((X15+AA15)/2,0)</f>
        <v>0</v>
      </c>
      <c r="AC15" s="34">
        <f>ROUND((W15+AB15)/2,0)</f>
        <v>8</v>
      </c>
      <c r="AD15" s="32"/>
      <c r="AE15" s="21"/>
      <c r="AF15" s="34"/>
      <c r="AG15" s="32"/>
      <c r="AH15" s="10">
        <f>ROUND((E15+F15+G15+H15+I15+J15+K15+L15+M15+N15+O15+P15+Q15+R15+S15+T15+AC15)/17,0)</f>
        <v>12</v>
      </c>
      <c r="AI15" s="41">
        <f>ROUND((4*AH15+AF15+AG15)/6,0)</f>
        <v>8</v>
      </c>
      <c r="AJ15" s="10"/>
      <c r="AK15" s="10" t="s">
        <v>37</v>
      </c>
    </row>
    <row r="16" spans="1:37" ht="16.5" x14ac:dyDescent="0.3">
      <c r="A16" s="18">
        <v>2</v>
      </c>
      <c r="B16" s="52">
        <v>7136</v>
      </c>
      <c r="C16" s="52" t="s">
        <v>67</v>
      </c>
      <c r="D16" s="51" t="s">
        <v>1</v>
      </c>
      <c r="E16" s="24">
        <v>10</v>
      </c>
      <c r="F16" s="24">
        <v>14</v>
      </c>
      <c r="G16" s="24">
        <v>13</v>
      </c>
      <c r="H16" s="24">
        <v>13</v>
      </c>
      <c r="I16" s="24">
        <v>10</v>
      </c>
      <c r="J16" s="24">
        <v>12</v>
      </c>
      <c r="K16" s="24">
        <v>13</v>
      </c>
      <c r="L16" s="24">
        <v>12</v>
      </c>
      <c r="M16" s="24">
        <v>10</v>
      </c>
      <c r="N16" s="24">
        <v>13</v>
      </c>
      <c r="O16" s="24">
        <v>14</v>
      </c>
      <c r="P16" s="24">
        <v>10</v>
      </c>
      <c r="Q16" s="24">
        <v>14</v>
      </c>
      <c r="R16" s="24">
        <v>13</v>
      </c>
      <c r="S16" s="24">
        <v>13</v>
      </c>
      <c r="T16" s="24">
        <v>10</v>
      </c>
      <c r="U16" s="23"/>
      <c r="V16" s="22"/>
      <c r="W16" s="24">
        <v>14</v>
      </c>
      <c r="X16" s="24"/>
      <c r="Y16" s="20"/>
      <c r="Z16" s="20"/>
      <c r="AA16" s="24">
        <f t="shared" ref="AA16:AA28" si="0">ROUND((Y16+Z16)/2,0)</f>
        <v>0</v>
      </c>
      <c r="AB16" s="20">
        <f t="shared" ref="AB16:AB28" si="1">ROUND((X16+AA16)/2,0)</f>
        <v>0</v>
      </c>
      <c r="AC16" s="34">
        <f t="shared" ref="AC16:AC28" si="2">ROUND((W16+AB16)/2,0)</f>
        <v>7</v>
      </c>
      <c r="AD16" s="32"/>
      <c r="AE16" s="21"/>
      <c r="AF16" s="34"/>
      <c r="AG16" s="32"/>
      <c r="AH16" s="10">
        <f t="shared" ref="AH16:AH28" si="3">ROUND((E16+F16+G16+H16+I16+J16+K16+L16+M16+N16+O16+P16+Q16+R16+S16+T16+AC16)/17,0)</f>
        <v>12</v>
      </c>
      <c r="AI16" s="41">
        <f t="shared" ref="AI16:AI28" si="4">ROUND((4*AH16+AF16+AG16)/6,0)</f>
        <v>8</v>
      </c>
      <c r="AJ16" s="10" t="s">
        <v>162</v>
      </c>
      <c r="AK16" s="10" t="s">
        <v>37</v>
      </c>
    </row>
    <row r="17" spans="1:37" ht="16.5" x14ac:dyDescent="0.3">
      <c r="A17" s="18">
        <v>3</v>
      </c>
      <c r="B17" s="52">
        <v>7199</v>
      </c>
      <c r="C17" s="52" t="s">
        <v>68</v>
      </c>
      <c r="D17" s="51" t="s">
        <v>1</v>
      </c>
      <c r="E17" s="22">
        <v>12</v>
      </c>
      <c r="F17" s="22">
        <v>13</v>
      </c>
      <c r="G17" s="22">
        <v>11</v>
      </c>
      <c r="H17" s="22">
        <v>14</v>
      </c>
      <c r="I17" s="22">
        <v>12</v>
      </c>
      <c r="J17" s="22">
        <v>11</v>
      </c>
      <c r="K17" s="22">
        <v>12</v>
      </c>
      <c r="L17" s="22">
        <v>11</v>
      </c>
      <c r="M17" s="22">
        <v>11</v>
      </c>
      <c r="N17" s="22">
        <v>14</v>
      </c>
      <c r="O17" s="22">
        <v>14</v>
      </c>
      <c r="P17" s="21">
        <v>12</v>
      </c>
      <c r="Q17" s="21">
        <v>14</v>
      </c>
      <c r="R17" s="21">
        <v>14</v>
      </c>
      <c r="S17" s="33">
        <v>11</v>
      </c>
      <c r="T17" s="25">
        <v>10</v>
      </c>
      <c r="U17" s="23"/>
      <c r="V17" s="22"/>
      <c r="W17" s="24">
        <v>14</v>
      </c>
      <c r="X17" s="24"/>
      <c r="Y17" s="20"/>
      <c r="Z17" s="20"/>
      <c r="AA17" s="24">
        <f t="shared" si="0"/>
        <v>0</v>
      </c>
      <c r="AB17" s="20">
        <f t="shared" si="1"/>
        <v>0</v>
      </c>
      <c r="AC17" s="34">
        <f t="shared" si="2"/>
        <v>7</v>
      </c>
      <c r="AD17" s="32"/>
      <c r="AE17" s="21"/>
      <c r="AF17" s="34"/>
      <c r="AG17" s="32"/>
      <c r="AH17" s="10">
        <f t="shared" si="3"/>
        <v>12</v>
      </c>
      <c r="AI17" s="41">
        <f t="shared" si="4"/>
        <v>8</v>
      </c>
      <c r="AJ17" s="10"/>
      <c r="AK17" s="10"/>
    </row>
    <row r="18" spans="1:37" ht="16.5" x14ac:dyDescent="0.3">
      <c r="A18" s="18">
        <v>4</v>
      </c>
      <c r="B18" s="52">
        <v>7152</v>
      </c>
      <c r="C18" s="52" t="s">
        <v>69</v>
      </c>
      <c r="D18" s="51" t="s">
        <v>1</v>
      </c>
      <c r="E18" s="22">
        <v>12</v>
      </c>
      <c r="F18" s="22">
        <v>13</v>
      </c>
      <c r="G18" s="22">
        <v>14</v>
      </c>
      <c r="H18" s="22">
        <v>13</v>
      </c>
      <c r="I18" s="22">
        <v>12</v>
      </c>
      <c r="J18" s="22">
        <v>12</v>
      </c>
      <c r="K18" s="22">
        <v>13</v>
      </c>
      <c r="L18" s="22">
        <v>10</v>
      </c>
      <c r="M18" s="22">
        <v>13</v>
      </c>
      <c r="N18" s="22">
        <v>14</v>
      </c>
      <c r="O18" s="22">
        <v>13</v>
      </c>
      <c r="P18" s="21">
        <v>13</v>
      </c>
      <c r="Q18" s="21">
        <v>18</v>
      </c>
      <c r="R18" s="21">
        <v>14</v>
      </c>
      <c r="S18" s="33">
        <v>15</v>
      </c>
      <c r="T18" s="25">
        <v>10</v>
      </c>
      <c r="U18" s="23"/>
      <c r="V18" s="22"/>
      <c r="W18" s="24">
        <v>14</v>
      </c>
      <c r="X18" s="24"/>
      <c r="Y18" s="20"/>
      <c r="Z18" s="20"/>
      <c r="AA18" s="24">
        <f t="shared" ref="AA18" si="5">ROUND((Y18+Z18)/2,0)</f>
        <v>0</v>
      </c>
      <c r="AB18" s="20">
        <f t="shared" ref="AB18" si="6">ROUND((X18+AA18)/2,0)</f>
        <v>0</v>
      </c>
      <c r="AC18" s="34">
        <f t="shared" si="2"/>
        <v>7</v>
      </c>
      <c r="AD18" s="32"/>
      <c r="AE18" s="21"/>
      <c r="AF18" s="34"/>
      <c r="AG18" s="32"/>
      <c r="AH18" s="10">
        <f t="shared" si="3"/>
        <v>13</v>
      </c>
      <c r="AI18" s="41">
        <f t="shared" si="4"/>
        <v>9</v>
      </c>
      <c r="AJ18" s="36"/>
      <c r="AK18" s="10"/>
    </row>
    <row r="19" spans="1:37" ht="16.5" x14ac:dyDescent="0.3">
      <c r="A19" s="18">
        <v>5</v>
      </c>
      <c r="B19" s="52">
        <v>7185</v>
      </c>
      <c r="C19" s="52" t="s">
        <v>70</v>
      </c>
      <c r="D19" s="51" t="s">
        <v>1</v>
      </c>
      <c r="E19" s="22">
        <v>14</v>
      </c>
      <c r="F19" s="22">
        <v>16</v>
      </c>
      <c r="G19" s="22">
        <v>15</v>
      </c>
      <c r="H19" s="22">
        <v>13</v>
      </c>
      <c r="I19" s="22">
        <v>12</v>
      </c>
      <c r="J19" s="22">
        <v>12</v>
      </c>
      <c r="K19" s="22">
        <v>14</v>
      </c>
      <c r="L19" s="22">
        <v>11</v>
      </c>
      <c r="M19" s="22">
        <v>13</v>
      </c>
      <c r="N19" s="22">
        <v>16</v>
      </c>
      <c r="O19" s="22">
        <v>17</v>
      </c>
      <c r="P19" s="21">
        <v>15</v>
      </c>
      <c r="Q19" s="21">
        <v>16</v>
      </c>
      <c r="R19" s="21">
        <v>14</v>
      </c>
      <c r="S19" s="33">
        <v>13</v>
      </c>
      <c r="T19" s="25">
        <v>14</v>
      </c>
      <c r="U19" s="23"/>
      <c r="V19" s="22"/>
      <c r="W19" s="24">
        <v>16</v>
      </c>
      <c r="X19" s="24"/>
      <c r="Y19" s="20"/>
      <c r="Z19" s="20"/>
      <c r="AA19" s="24">
        <f t="shared" si="0"/>
        <v>0</v>
      </c>
      <c r="AB19" s="20">
        <f t="shared" si="1"/>
        <v>0</v>
      </c>
      <c r="AC19" s="34">
        <f t="shared" si="2"/>
        <v>8</v>
      </c>
      <c r="AD19" s="32"/>
      <c r="AE19" s="21"/>
      <c r="AF19" s="34"/>
      <c r="AG19" s="32"/>
      <c r="AH19" s="10">
        <f t="shared" si="3"/>
        <v>14</v>
      </c>
      <c r="AI19" s="41">
        <f t="shared" si="4"/>
        <v>9</v>
      </c>
      <c r="AJ19" s="10"/>
      <c r="AK19" s="10"/>
    </row>
    <row r="20" spans="1:37" ht="15" customHeight="1" x14ac:dyDescent="0.3">
      <c r="A20" s="18">
        <v>6</v>
      </c>
      <c r="B20" s="52"/>
      <c r="C20" s="52" t="s">
        <v>71</v>
      </c>
      <c r="D20" s="51" t="s">
        <v>101</v>
      </c>
      <c r="E20" s="22">
        <v>11</v>
      </c>
      <c r="F20" s="22">
        <v>11</v>
      </c>
      <c r="G20" s="22">
        <v>10</v>
      </c>
      <c r="H20" s="22">
        <v>11</v>
      </c>
      <c r="I20" s="22">
        <v>10</v>
      </c>
      <c r="J20" s="22">
        <v>10</v>
      </c>
      <c r="K20" s="22">
        <v>12</v>
      </c>
      <c r="L20" s="22">
        <v>10</v>
      </c>
      <c r="M20" s="22">
        <v>10</v>
      </c>
      <c r="N20" s="22">
        <v>12</v>
      </c>
      <c r="O20" s="22">
        <v>12</v>
      </c>
      <c r="P20" s="21">
        <v>10</v>
      </c>
      <c r="Q20" s="21">
        <v>13</v>
      </c>
      <c r="R20" s="21">
        <v>11</v>
      </c>
      <c r="S20" s="33">
        <v>11</v>
      </c>
      <c r="T20" s="25">
        <v>10</v>
      </c>
      <c r="U20" s="23"/>
      <c r="V20" s="22"/>
      <c r="W20" s="24">
        <v>13</v>
      </c>
      <c r="X20" s="24"/>
      <c r="Y20" s="20"/>
      <c r="Z20" s="20"/>
      <c r="AA20" s="24">
        <f t="shared" si="0"/>
        <v>0</v>
      </c>
      <c r="AB20" s="20">
        <f t="shared" si="1"/>
        <v>0</v>
      </c>
      <c r="AC20" s="34">
        <f t="shared" si="2"/>
        <v>7</v>
      </c>
      <c r="AD20" s="32"/>
      <c r="AE20" s="21"/>
      <c r="AF20" s="34"/>
      <c r="AG20" s="32"/>
      <c r="AH20" s="10">
        <f t="shared" si="3"/>
        <v>11</v>
      </c>
      <c r="AI20" s="41">
        <f t="shared" si="4"/>
        <v>7</v>
      </c>
      <c r="AJ20" s="10"/>
      <c r="AK20" s="10"/>
    </row>
    <row r="21" spans="1:37" ht="16.5" x14ac:dyDescent="0.3">
      <c r="A21" s="18">
        <v>7</v>
      </c>
      <c r="B21" s="52">
        <v>7295</v>
      </c>
      <c r="C21" s="52" t="s">
        <v>72</v>
      </c>
      <c r="D21" s="51" t="s">
        <v>1</v>
      </c>
      <c r="E21" s="22">
        <v>11</v>
      </c>
      <c r="F21" s="22">
        <v>14</v>
      </c>
      <c r="G21" s="22">
        <v>13</v>
      </c>
      <c r="H21" s="22">
        <v>11</v>
      </c>
      <c r="I21" s="22">
        <v>11</v>
      </c>
      <c r="J21" s="22">
        <v>10</v>
      </c>
      <c r="K21" s="22">
        <v>12</v>
      </c>
      <c r="L21" s="22">
        <v>11</v>
      </c>
      <c r="M21" s="22">
        <v>11</v>
      </c>
      <c r="N21" s="22">
        <v>14</v>
      </c>
      <c r="O21" s="22">
        <v>10</v>
      </c>
      <c r="P21" s="21">
        <v>11</v>
      </c>
      <c r="Q21" s="21">
        <v>13</v>
      </c>
      <c r="R21" s="21">
        <v>11</v>
      </c>
      <c r="S21" s="33">
        <v>11</v>
      </c>
      <c r="T21" s="25">
        <v>12</v>
      </c>
      <c r="U21" s="23"/>
      <c r="V21" s="22"/>
      <c r="W21" s="24">
        <v>11</v>
      </c>
      <c r="X21" s="24"/>
      <c r="Y21" s="20"/>
      <c r="Z21" s="20"/>
      <c r="AA21" s="24">
        <f t="shared" si="0"/>
        <v>0</v>
      </c>
      <c r="AB21" s="20">
        <f t="shared" si="1"/>
        <v>0</v>
      </c>
      <c r="AC21" s="34">
        <f t="shared" si="2"/>
        <v>6</v>
      </c>
      <c r="AD21" s="32"/>
      <c r="AE21" s="21"/>
      <c r="AF21" s="34"/>
      <c r="AG21" s="32"/>
      <c r="AH21" s="10">
        <f t="shared" si="3"/>
        <v>11</v>
      </c>
      <c r="AI21" s="41">
        <f t="shared" si="4"/>
        <v>7</v>
      </c>
      <c r="AJ21" s="10"/>
      <c r="AK21" s="10" t="s">
        <v>38</v>
      </c>
    </row>
    <row r="22" spans="1:37" ht="16.5" x14ac:dyDescent="0.3">
      <c r="A22" s="18">
        <v>8</v>
      </c>
      <c r="B22" s="52">
        <v>7332</v>
      </c>
      <c r="C22" s="52" t="s">
        <v>73</v>
      </c>
      <c r="D22" s="51" t="s">
        <v>1</v>
      </c>
      <c r="E22" s="22">
        <v>11</v>
      </c>
      <c r="F22" s="22">
        <v>12</v>
      </c>
      <c r="G22" s="22">
        <v>12</v>
      </c>
      <c r="H22" s="22">
        <v>12</v>
      </c>
      <c r="I22" s="22">
        <v>10</v>
      </c>
      <c r="J22" s="22">
        <v>10</v>
      </c>
      <c r="K22" s="22">
        <v>11</v>
      </c>
      <c r="L22" s="22">
        <v>10</v>
      </c>
      <c r="M22" s="22">
        <v>11</v>
      </c>
      <c r="N22" s="22">
        <v>13</v>
      </c>
      <c r="O22" s="22">
        <v>10</v>
      </c>
      <c r="P22" s="21">
        <v>12</v>
      </c>
      <c r="Q22" s="21">
        <v>15</v>
      </c>
      <c r="R22" s="21">
        <v>12</v>
      </c>
      <c r="S22" s="33">
        <v>11</v>
      </c>
      <c r="T22" s="25">
        <v>10</v>
      </c>
      <c r="U22" s="23"/>
      <c r="V22" s="22"/>
      <c r="W22" s="24">
        <v>13</v>
      </c>
      <c r="X22" s="24"/>
      <c r="Y22" s="20"/>
      <c r="Z22" s="20"/>
      <c r="AA22" s="24">
        <f t="shared" si="0"/>
        <v>0</v>
      </c>
      <c r="AB22" s="20">
        <f t="shared" si="1"/>
        <v>0</v>
      </c>
      <c r="AC22" s="34">
        <f t="shared" si="2"/>
        <v>7</v>
      </c>
      <c r="AD22" s="32"/>
      <c r="AE22" s="21"/>
      <c r="AF22" s="34"/>
      <c r="AG22" s="32"/>
      <c r="AH22" s="10">
        <f t="shared" si="3"/>
        <v>11</v>
      </c>
      <c r="AI22" s="41">
        <f t="shared" si="4"/>
        <v>7</v>
      </c>
      <c r="AJ22" s="10"/>
      <c r="AK22" s="10"/>
    </row>
    <row r="23" spans="1:37" ht="15.75" customHeight="1" x14ac:dyDescent="0.3">
      <c r="A23" s="18">
        <v>9</v>
      </c>
      <c r="B23" s="52">
        <v>7157</v>
      </c>
      <c r="C23" s="52" t="s">
        <v>74</v>
      </c>
      <c r="D23" s="51" t="s">
        <v>1</v>
      </c>
      <c r="E23" s="22">
        <v>11</v>
      </c>
      <c r="F23" s="22">
        <v>12</v>
      </c>
      <c r="G23" s="22">
        <v>13</v>
      </c>
      <c r="H23" s="22">
        <v>12</v>
      </c>
      <c r="I23" s="22">
        <v>11</v>
      </c>
      <c r="J23" s="22">
        <v>10</v>
      </c>
      <c r="K23" s="22">
        <v>13</v>
      </c>
      <c r="L23" s="22">
        <v>10</v>
      </c>
      <c r="M23" s="22">
        <v>13</v>
      </c>
      <c r="N23" s="22">
        <v>13</v>
      </c>
      <c r="O23" s="22">
        <v>11</v>
      </c>
      <c r="P23" s="21">
        <v>11</v>
      </c>
      <c r="Q23" s="21">
        <v>13</v>
      </c>
      <c r="R23" s="21">
        <v>12</v>
      </c>
      <c r="S23" s="33">
        <v>12</v>
      </c>
      <c r="T23" s="25">
        <v>11</v>
      </c>
      <c r="U23" s="23"/>
      <c r="V23" s="22"/>
      <c r="W23" s="24">
        <v>15</v>
      </c>
      <c r="X23" s="24"/>
      <c r="Y23" s="20"/>
      <c r="Z23" s="20"/>
      <c r="AA23" s="24">
        <f t="shared" ref="AA23" si="7">ROUND((Y23+Z23)/2,0)</f>
        <v>0</v>
      </c>
      <c r="AB23" s="20">
        <f t="shared" ref="AB23" si="8">ROUND((X23+AA23)/2,0)</f>
        <v>0</v>
      </c>
      <c r="AC23" s="34">
        <f>ROUND((W23+AB23)/2,0)</f>
        <v>8</v>
      </c>
      <c r="AD23" s="32"/>
      <c r="AE23" s="21"/>
      <c r="AF23" s="34"/>
      <c r="AG23" s="32"/>
      <c r="AH23" s="10">
        <f t="shared" si="3"/>
        <v>12</v>
      </c>
      <c r="AI23" s="41">
        <f t="shared" si="4"/>
        <v>8</v>
      </c>
      <c r="AJ23" s="36"/>
      <c r="AK23" s="10"/>
    </row>
    <row r="24" spans="1:37" ht="16.5" x14ac:dyDescent="0.3">
      <c r="A24" s="18">
        <v>10</v>
      </c>
      <c r="B24" s="52">
        <v>7220</v>
      </c>
      <c r="C24" s="52" t="s">
        <v>75</v>
      </c>
      <c r="D24" s="51" t="s">
        <v>1</v>
      </c>
      <c r="E24" s="22">
        <v>13</v>
      </c>
      <c r="F24" s="22">
        <v>13</v>
      </c>
      <c r="G24" s="22">
        <v>15</v>
      </c>
      <c r="H24" s="22">
        <v>12</v>
      </c>
      <c r="I24" s="22">
        <v>15</v>
      </c>
      <c r="J24" s="22">
        <v>13</v>
      </c>
      <c r="K24" s="22">
        <v>15</v>
      </c>
      <c r="L24" s="22">
        <v>12</v>
      </c>
      <c r="M24" s="22">
        <v>12</v>
      </c>
      <c r="N24" s="22">
        <v>13</v>
      </c>
      <c r="O24" s="22">
        <v>13</v>
      </c>
      <c r="P24" s="21">
        <v>12</v>
      </c>
      <c r="Q24" s="21">
        <v>16</v>
      </c>
      <c r="R24" s="21">
        <v>14</v>
      </c>
      <c r="S24" s="33">
        <v>12</v>
      </c>
      <c r="T24" s="25">
        <v>11</v>
      </c>
      <c r="U24" s="23"/>
      <c r="V24" s="22"/>
      <c r="W24" s="24">
        <v>15</v>
      </c>
      <c r="X24" s="24"/>
      <c r="Y24" s="20"/>
      <c r="Z24" s="20"/>
      <c r="AA24" s="24">
        <f t="shared" si="0"/>
        <v>0</v>
      </c>
      <c r="AB24" s="20">
        <f t="shared" si="1"/>
        <v>0</v>
      </c>
      <c r="AC24" s="34">
        <f t="shared" si="2"/>
        <v>8</v>
      </c>
      <c r="AD24" s="32"/>
      <c r="AE24" s="21"/>
      <c r="AF24" s="34"/>
      <c r="AG24" s="32"/>
      <c r="AH24" s="10">
        <f t="shared" si="3"/>
        <v>13</v>
      </c>
      <c r="AI24" s="41">
        <f t="shared" si="4"/>
        <v>9</v>
      </c>
      <c r="AJ24" s="10"/>
      <c r="AK24" s="10"/>
    </row>
    <row r="25" spans="1:37" ht="16.5" x14ac:dyDescent="0.3">
      <c r="A25" s="18">
        <v>11</v>
      </c>
      <c r="B25" s="52"/>
      <c r="C25" s="52" t="s">
        <v>76</v>
      </c>
      <c r="D25" s="51" t="s">
        <v>1</v>
      </c>
      <c r="E25" s="22">
        <v>13</v>
      </c>
      <c r="F25" s="22">
        <v>14</v>
      </c>
      <c r="G25" s="22">
        <v>11</v>
      </c>
      <c r="H25" s="22">
        <v>13</v>
      </c>
      <c r="I25" s="22">
        <v>12</v>
      </c>
      <c r="J25" s="22">
        <v>11</v>
      </c>
      <c r="K25" s="22">
        <v>15</v>
      </c>
      <c r="L25" s="22">
        <v>10</v>
      </c>
      <c r="M25" s="22">
        <v>10</v>
      </c>
      <c r="N25" s="22">
        <v>13</v>
      </c>
      <c r="O25" s="22">
        <v>10</v>
      </c>
      <c r="P25" s="21">
        <v>12</v>
      </c>
      <c r="Q25" s="21">
        <v>16</v>
      </c>
      <c r="R25" s="21">
        <v>12</v>
      </c>
      <c r="S25" s="33">
        <v>12</v>
      </c>
      <c r="T25" s="25">
        <v>13</v>
      </c>
      <c r="U25" s="23"/>
      <c r="V25" s="22"/>
      <c r="W25" s="24">
        <v>15</v>
      </c>
      <c r="X25" s="24"/>
      <c r="Y25" s="20"/>
      <c r="Z25" s="20"/>
      <c r="AA25" s="24">
        <f t="shared" si="0"/>
        <v>0</v>
      </c>
      <c r="AB25" s="20">
        <f t="shared" si="1"/>
        <v>0</v>
      </c>
      <c r="AC25" s="34">
        <f t="shared" si="2"/>
        <v>8</v>
      </c>
      <c r="AD25" s="32"/>
      <c r="AE25" s="21"/>
      <c r="AF25" s="34"/>
      <c r="AG25" s="32"/>
      <c r="AH25" s="10">
        <f t="shared" si="3"/>
        <v>12</v>
      </c>
      <c r="AI25" s="41">
        <f t="shared" si="4"/>
        <v>8</v>
      </c>
      <c r="AJ25" s="10"/>
      <c r="AK25" s="10"/>
    </row>
    <row r="26" spans="1:37" ht="16.5" x14ac:dyDescent="0.3">
      <c r="A26" s="18">
        <v>12</v>
      </c>
      <c r="B26" s="52">
        <v>7252</v>
      </c>
      <c r="C26" s="52" t="s">
        <v>77</v>
      </c>
      <c r="D26" s="51" t="s">
        <v>1</v>
      </c>
      <c r="E26" s="22">
        <v>15</v>
      </c>
      <c r="F26" s="22">
        <v>15</v>
      </c>
      <c r="G26" s="22">
        <v>15</v>
      </c>
      <c r="H26" s="22">
        <v>13</v>
      </c>
      <c r="I26" s="22">
        <v>15</v>
      </c>
      <c r="J26" s="22">
        <v>13</v>
      </c>
      <c r="K26" s="22">
        <v>15</v>
      </c>
      <c r="L26" s="22">
        <v>13</v>
      </c>
      <c r="M26" s="22">
        <v>13</v>
      </c>
      <c r="N26" s="22">
        <v>15</v>
      </c>
      <c r="O26" s="22">
        <v>13</v>
      </c>
      <c r="P26" s="21">
        <v>15</v>
      </c>
      <c r="Q26" s="21">
        <v>16</v>
      </c>
      <c r="R26" s="21">
        <v>15</v>
      </c>
      <c r="S26" s="33">
        <v>13</v>
      </c>
      <c r="T26" s="25">
        <v>13</v>
      </c>
      <c r="U26" s="23"/>
      <c r="V26" s="22"/>
      <c r="W26" s="24">
        <v>15</v>
      </c>
      <c r="X26" s="24"/>
      <c r="Y26" s="20"/>
      <c r="Z26" s="20"/>
      <c r="AA26" s="24">
        <f t="shared" si="0"/>
        <v>0</v>
      </c>
      <c r="AB26" s="20">
        <f t="shared" si="1"/>
        <v>0</v>
      </c>
      <c r="AC26" s="34">
        <f t="shared" si="2"/>
        <v>8</v>
      </c>
      <c r="AD26" s="32"/>
      <c r="AE26" s="21"/>
      <c r="AF26" s="34"/>
      <c r="AG26" s="32"/>
      <c r="AH26" s="10">
        <f t="shared" si="3"/>
        <v>14</v>
      </c>
      <c r="AI26" s="41">
        <f t="shared" si="4"/>
        <v>9</v>
      </c>
      <c r="AJ26" s="10"/>
      <c r="AK26" s="10"/>
    </row>
    <row r="27" spans="1:37" ht="19.5" customHeight="1" x14ac:dyDescent="0.3">
      <c r="A27" s="18">
        <v>13</v>
      </c>
      <c r="B27" s="52">
        <v>7158</v>
      </c>
      <c r="C27" s="52" t="s">
        <v>78</v>
      </c>
      <c r="D27" s="51" t="s">
        <v>1</v>
      </c>
      <c r="E27" s="22">
        <v>13</v>
      </c>
      <c r="F27" s="22">
        <v>13</v>
      </c>
      <c r="G27" s="22">
        <v>12</v>
      </c>
      <c r="H27" s="22">
        <v>10</v>
      </c>
      <c r="I27" s="22">
        <v>11</v>
      </c>
      <c r="J27" s="22">
        <v>10</v>
      </c>
      <c r="K27" s="22">
        <v>12</v>
      </c>
      <c r="L27" s="22">
        <v>10</v>
      </c>
      <c r="M27" s="22">
        <v>10</v>
      </c>
      <c r="N27" s="22">
        <v>13</v>
      </c>
      <c r="O27" s="22">
        <v>10</v>
      </c>
      <c r="P27" s="21">
        <v>11</v>
      </c>
      <c r="Q27" s="21">
        <v>13</v>
      </c>
      <c r="R27" s="21">
        <v>11</v>
      </c>
      <c r="S27" s="33">
        <v>13</v>
      </c>
      <c r="T27" s="25">
        <v>10</v>
      </c>
      <c r="U27" s="23"/>
      <c r="V27" s="22"/>
      <c r="W27" s="24">
        <v>11</v>
      </c>
      <c r="X27" s="24"/>
      <c r="Y27" s="20"/>
      <c r="Z27" s="20"/>
      <c r="AA27" s="24">
        <f t="shared" si="0"/>
        <v>0</v>
      </c>
      <c r="AB27" s="20">
        <f t="shared" si="1"/>
        <v>0</v>
      </c>
      <c r="AC27" s="34">
        <f t="shared" si="2"/>
        <v>6</v>
      </c>
      <c r="AD27" s="32"/>
      <c r="AE27" s="21"/>
      <c r="AF27" s="34"/>
      <c r="AG27" s="32"/>
      <c r="AH27" s="10">
        <f t="shared" si="3"/>
        <v>11</v>
      </c>
      <c r="AI27" s="41">
        <f t="shared" si="4"/>
        <v>7</v>
      </c>
      <c r="AJ27" s="10"/>
      <c r="AK27" s="10"/>
    </row>
    <row r="28" spans="1:37" ht="16.5" x14ac:dyDescent="0.3">
      <c r="A28" s="18">
        <v>14</v>
      </c>
      <c r="B28" s="52">
        <v>7128</v>
      </c>
      <c r="C28" s="52" t="s">
        <v>79</v>
      </c>
      <c r="D28" s="51" t="s">
        <v>1</v>
      </c>
      <c r="E28" s="22">
        <v>13</v>
      </c>
      <c r="F28" s="22">
        <v>13</v>
      </c>
      <c r="G28" s="22">
        <v>14</v>
      </c>
      <c r="H28" s="22">
        <v>13</v>
      </c>
      <c r="I28" s="22">
        <v>16</v>
      </c>
      <c r="J28" s="22">
        <v>13</v>
      </c>
      <c r="K28" s="22">
        <v>14</v>
      </c>
      <c r="L28" s="22">
        <v>13</v>
      </c>
      <c r="M28" s="22">
        <v>12</v>
      </c>
      <c r="N28" s="22">
        <v>14</v>
      </c>
      <c r="O28" s="22">
        <v>13</v>
      </c>
      <c r="P28" s="21">
        <v>13</v>
      </c>
      <c r="Q28" s="21">
        <v>15</v>
      </c>
      <c r="R28" s="21">
        <v>15</v>
      </c>
      <c r="S28" s="33">
        <v>13</v>
      </c>
      <c r="T28" s="25">
        <v>11</v>
      </c>
      <c r="U28" s="23"/>
      <c r="V28" s="22"/>
      <c r="W28" s="24">
        <v>13</v>
      </c>
      <c r="X28" s="24"/>
      <c r="Y28" s="20"/>
      <c r="Z28" s="20"/>
      <c r="AA28" s="24">
        <f t="shared" si="0"/>
        <v>0</v>
      </c>
      <c r="AB28" s="20">
        <f t="shared" si="1"/>
        <v>0</v>
      </c>
      <c r="AC28" s="34">
        <f t="shared" si="2"/>
        <v>7</v>
      </c>
      <c r="AD28" s="32"/>
      <c r="AE28" s="21"/>
      <c r="AF28" s="34"/>
      <c r="AG28" s="32"/>
      <c r="AH28" s="10">
        <f t="shared" si="3"/>
        <v>13</v>
      </c>
      <c r="AI28" s="41">
        <f t="shared" si="4"/>
        <v>9</v>
      </c>
      <c r="AJ28" s="10"/>
      <c r="AK28" s="10"/>
    </row>
    <row r="29" spans="1:37" ht="16.5" x14ac:dyDescent="0.3">
      <c r="A29" s="18">
        <v>15</v>
      </c>
      <c r="B29" s="52"/>
      <c r="C29" s="52" t="s">
        <v>80</v>
      </c>
      <c r="D29" s="51" t="s">
        <v>1</v>
      </c>
      <c r="E29" s="22">
        <v>12</v>
      </c>
      <c r="F29" s="22">
        <v>11</v>
      </c>
      <c r="G29" s="22">
        <v>15</v>
      </c>
      <c r="H29" s="22">
        <v>13</v>
      </c>
      <c r="I29" s="22">
        <v>10</v>
      </c>
      <c r="J29" s="22">
        <v>11</v>
      </c>
      <c r="K29" s="22">
        <v>12</v>
      </c>
      <c r="L29" s="22">
        <v>10</v>
      </c>
      <c r="M29" s="22">
        <v>10</v>
      </c>
      <c r="N29" s="22">
        <v>14</v>
      </c>
      <c r="O29" s="22">
        <v>11</v>
      </c>
      <c r="P29" s="21">
        <v>10</v>
      </c>
      <c r="Q29" s="21">
        <v>15</v>
      </c>
      <c r="R29" s="21">
        <v>11</v>
      </c>
      <c r="S29" s="33">
        <v>15</v>
      </c>
      <c r="T29" s="25">
        <v>12</v>
      </c>
      <c r="U29" s="23"/>
      <c r="V29" s="22"/>
      <c r="W29" s="24">
        <v>11</v>
      </c>
      <c r="X29" s="24"/>
      <c r="Y29" s="20"/>
      <c r="Z29" s="20"/>
      <c r="AA29" s="24">
        <f t="shared" ref="AA29:AA49" si="9">ROUND((Y29+Z29)/2,0)</f>
        <v>0</v>
      </c>
      <c r="AB29" s="20">
        <f t="shared" ref="AB29:AB49" si="10">ROUND((X29+AA29)/2,0)</f>
        <v>0</v>
      </c>
      <c r="AC29" s="34">
        <f t="shared" ref="AC29:AC49" si="11">ROUND((W29+AB29)/2,0)</f>
        <v>6</v>
      </c>
      <c r="AD29" s="32"/>
      <c r="AE29" s="21"/>
      <c r="AF29" s="34"/>
      <c r="AG29" s="32"/>
      <c r="AH29" s="10">
        <f t="shared" ref="AH29:AH49" si="12">ROUND((E29+F29+G29+H29+I29+J29+K29+L29+M29+N29+O29+P29+Q29+R29+S29+T29+AC29)/17,0)</f>
        <v>12</v>
      </c>
      <c r="AI29" s="41">
        <f t="shared" ref="AI29:AI49" si="13">ROUND((4*AH29+AF29+AG29)/6,0)</f>
        <v>8</v>
      </c>
      <c r="AJ29" s="10"/>
      <c r="AK29" s="10"/>
    </row>
    <row r="30" spans="1:37" ht="16.5" x14ac:dyDescent="0.3">
      <c r="A30" s="18">
        <v>16</v>
      </c>
      <c r="B30" s="52">
        <v>7153</v>
      </c>
      <c r="C30" s="52" t="s">
        <v>81</v>
      </c>
      <c r="D30" s="51" t="s">
        <v>101</v>
      </c>
      <c r="E30" s="22">
        <v>13</v>
      </c>
      <c r="F30" s="22">
        <v>13</v>
      </c>
      <c r="G30" s="22">
        <v>14</v>
      </c>
      <c r="H30" s="22">
        <v>12</v>
      </c>
      <c r="I30" s="22">
        <v>12</v>
      </c>
      <c r="J30" s="22">
        <v>11</v>
      </c>
      <c r="K30" s="22">
        <v>12</v>
      </c>
      <c r="L30" s="22">
        <v>11</v>
      </c>
      <c r="M30" s="22">
        <v>11</v>
      </c>
      <c r="N30" s="22">
        <v>14</v>
      </c>
      <c r="O30" s="22">
        <v>13</v>
      </c>
      <c r="P30" s="21">
        <v>11</v>
      </c>
      <c r="Q30" s="21">
        <v>17</v>
      </c>
      <c r="R30" s="21">
        <v>13</v>
      </c>
      <c r="S30" s="33">
        <v>13</v>
      </c>
      <c r="T30" s="25">
        <v>12</v>
      </c>
      <c r="U30" s="23"/>
      <c r="V30" s="22"/>
      <c r="W30" s="24">
        <v>15</v>
      </c>
      <c r="X30" s="24"/>
      <c r="Y30" s="20"/>
      <c r="Z30" s="20"/>
      <c r="AA30" s="24">
        <f t="shared" si="9"/>
        <v>0</v>
      </c>
      <c r="AB30" s="20">
        <f t="shared" si="10"/>
        <v>0</v>
      </c>
      <c r="AC30" s="34">
        <f t="shared" si="11"/>
        <v>8</v>
      </c>
      <c r="AD30" s="32"/>
      <c r="AE30" s="21"/>
      <c r="AF30" s="34"/>
      <c r="AG30" s="32"/>
      <c r="AH30" s="10">
        <f t="shared" si="12"/>
        <v>12</v>
      </c>
      <c r="AI30" s="41">
        <f t="shared" si="13"/>
        <v>8</v>
      </c>
      <c r="AJ30" s="10"/>
      <c r="AK30" s="10"/>
    </row>
    <row r="31" spans="1:37" ht="16.5" x14ac:dyDescent="0.3">
      <c r="A31" s="18">
        <v>17</v>
      </c>
      <c r="B31" s="52">
        <v>7122</v>
      </c>
      <c r="C31" s="52" t="s">
        <v>82</v>
      </c>
      <c r="D31" s="51" t="s">
        <v>101</v>
      </c>
      <c r="E31" s="22">
        <v>11</v>
      </c>
      <c r="F31" s="22">
        <v>14</v>
      </c>
      <c r="G31" s="22">
        <v>12</v>
      </c>
      <c r="H31" s="22">
        <v>11</v>
      </c>
      <c r="I31" s="22">
        <v>11</v>
      </c>
      <c r="J31" s="22">
        <v>10</v>
      </c>
      <c r="K31" s="22">
        <v>12</v>
      </c>
      <c r="L31" s="22">
        <v>11</v>
      </c>
      <c r="M31" s="22">
        <v>11</v>
      </c>
      <c r="N31" s="22">
        <v>13</v>
      </c>
      <c r="O31" s="22">
        <v>11</v>
      </c>
      <c r="P31" s="21">
        <v>12</v>
      </c>
      <c r="Q31" s="21">
        <v>15</v>
      </c>
      <c r="R31" s="21">
        <v>13</v>
      </c>
      <c r="S31" s="33">
        <v>13</v>
      </c>
      <c r="T31" s="25">
        <v>10</v>
      </c>
      <c r="U31" s="23"/>
      <c r="V31" s="22"/>
      <c r="W31" s="24">
        <v>15</v>
      </c>
      <c r="X31" s="24"/>
      <c r="Y31" s="20"/>
      <c r="Z31" s="20"/>
      <c r="AA31" s="24">
        <f t="shared" si="9"/>
        <v>0</v>
      </c>
      <c r="AB31" s="20">
        <f t="shared" si="10"/>
        <v>0</v>
      </c>
      <c r="AC31" s="34">
        <f t="shared" si="11"/>
        <v>8</v>
      </c>
      <c r="AD31" s="32"/>
      <c r="AE31" s="21"/>
      <c r="AF31" s="34"/>
      <c r="AG31" s="32"/>
      <c r="AH31" s="10">
        <f t="shared" si="12"/>
        <v>12</v>
      </c>
      <c r="AI31" s="41">
        <f t="shared" si="13"/>
        <v>8</v>
      </c>
      <c r="AJ31" s="10"/>
      <c r="AK31" s="10"/>
    </row>
    <row r="32" spans="1:37" ht="16.5" x14ac:dyDescent="0.3">
      <c r="A32" s="18">
        <v>18</v>
      </c>
      <c r="B32" s="52">
        <v>7173</v>
      </c>
      <c r="C32" s="52" t="s">
        <v>83</v>
      </c>
      <c r="D32" s="51" t="s">
        <v>1</v>
      </c>
      <c r="E32" s="22">
        <v>13</v>
      </c>
      <c r="F32" s="22">
        <v>15</v>
      </c>
      <c r="G32" s="22">
        <v>14</v>
      </c>
      <c r="H32" s="22">
        <v>13</v>
      </c>
      <c r="I32" s="22">
        <v>15</v>
      </c>
      <c r="J32" s="22">
        <v>13</v>
      </c>
      <c r="K32" s="22">
        <v>15</v>
      </c>
      <c r="L32" s="22">
        <v>11</v>
      </c>
      <c r="M32" s="22">
        <v>12</v>
      </c>
      <c r="N32" s="22">
        <v>13</v>
      </c>
      <c r="O32" s="22">
        <v>12</v>
      </c>
      <c r="P32" s="21">
        <v>12</v>
      </c>
      <c r="Q32" s="21">
        <v>17</v>
      </c>
      <c r="R32" s="21">
        <v>14</v>
      </c>
      <c r="S32" s="33">
        <v>13</v>
      </c>
      <c r="T32" s="25">
        <v>12</v>
      </c>
      <c r="U32" s="23"/>
      <c r="V32" s="22"/>
      <c r="W32" s="24">
        <v>15</v>
      </c>
      <c r="X32" s="24"/>
      <c r="Y32" s="20"/>
      <c r="Z32" s="20"/>
      <c r="AA32" s="24">
        <f t="shared" si="9"/>
        <v>0</v>
      </c>
      <c r="AB32" s="20">
        <f t="shared" si="10"/>
        <v>0</v>
      </c>
      <c r="AC32" s="34">
        <f t="shared" si="11"/>
        <v>8</v>
      </c>
      <c r="AD32" s="32"/>
      <c r="AE32" s="21"/>
      <c r="AF32" s="34"/>
      <c r="AG32" s="32"/>
      <c r="AH32" s="10">
        <f t="shared" si="12"/>
        <v>13</v>
      </c>
      <c r="AI32" s="41">
        <f t="shared" si="13"/>
        <v>9</v>
      </c>
      <c r="AJ32" s="10"/>
      <c r="AK32" s="10"/>
    </row>
    <row r="33" spans="1:37" ht="16.5" x14ac:dyDescent="0.3">
      <c r="A33" s="18">
        <v>19</v>
      </c>
      <c r="B33" s="52">
        <v>7114</v>
      </c>
      <c r="C33" s="52" t="s">
        <v>84</v>
      </c>
      <c r="D33" s="51" t="s">
        <v>1</v>
      </c>
      <c r="E33" s="22">
        <v>12</v>
      </c>
      <c r="F33" s="22">
        <v>16</v>
      </c>
      <c r="G33" s="22">
        <v>13</v>
      </c>
      <c r="H33" s="22">
        <v>15</v>
      </c>
      <c r="I33" s="22">
        <v>15</v>
      </c>
      <c r="J33" s="22">
        <v>11</v>
      </c>
      <c r="K33" s="22">
        <v>14</v>
      </c>
      <c r="L33" s="22">
        <v>11</v>
      </c>
      <c r="M33" s="22">
        <v>11</v>
      </c>
      <c r="N33" s="22">
        <v>13</v>
      </c>
      <c r="O33" s="22">
        <v>17</v>
      </c>
      <c r="P33" s="21">
        <v>15</v>
      </c>
      <c r="Q33" s="21">
        <v>16</v>
      </c>
      <c r="R33" s="21">
        <v>14</v>
      </c>
      <c r="S33" s="33">
        <v>12</v>
      </c>
      <c r="T33" s="25">
        <v>17</v>
      </c>
      <c r="U33" s="23"/>
      <c r="V33" s="22"/>
      <c r="W33" s="24">
        <v>15</v>
      </c>
      <c r="X33" s="24"/>
      <c r="Y33" s="20"/>
      <c r="Z33" s="20"/>
      <c r="AA33" s="24">
        <f t="shared" si="9"/>
        <v>0</v>
      </c>
      <c r="AB33" s="20">
        <f t="shared" si="10"/>
        <v>0</v>
      </c>
      <c r="AC33" s="34">
        <f t="shared" si="11"/>
        <v>8</v>
      </c>
      <c r="AD33" s="32"/>
      <c r="AE33" s="21"/>
      <c r="AF33" s="34"/>
      <c r="AG33" s="32"/>
      <c r="AH33" s="10">
        <f t="shared" si="12"/>
        <v>14</v>
      </c>
      <c r="AI33" s="41">
        <f t="shared" si="13"/>
        <v>9</v>
      </c>
      <c r="AJ33" s="10"/>
      <c r="AK33" s="10"/>
    </row>
    <row r="34" spans="1:37" ht="16.5" x14ac:dyDescent="0.3">
      <c r="A34" s="18">
        <v>20</v>
      </c>
      <c r="B34" s="52">
        <v>7130</v>
      </c>
      <c r="C34" s="52" t="s">
        <v>85</v>
      </c>
      <c r="D34" s="51" t="s">
        <v>101</v>
      </c>
      <c r="E34" s="22">
        <v>15</v>
      </c>
      <c r="F34" s="22">
        <v>18</v>
      </c>
      <c r="G34" s="22">
        <v>17</v>
      </c>
      <c r="H34" s="22">
        <v>16</v>
      </c>
      <c r="I34" s="22">
        <v>13</v>
      </c>
      <c r="J34" s="22">
        <v>12</v>
      </c>
      <c r="K34" s="22">
        <v>16</v>
      </c>
      <c r="L34" s="22">
        <v>13</v>
      </c>
      <c r="M34" s="22">
        <v>13</v>
      </c>
      <c r="N34" s="22">
        <v>16</v>
      </c>
      <c r="O34" s="22">
        <v>15</v>
      </c>
      <c r="P34" s="21">
        <v>12</v>
      </c>
      <c r="Q34" s="21">
        <v>16</v>
      </c>
      <c r="R34" s="21">
        <v>15</v>
      </c>
      <c r="S34" s="33">
        <v>15</v>
      </c>
      <c r="T34" s="25">
        <v>15</v>
      </c>
      <c r="U34" s="23"/>
      <c r="V34" s="22"/>
      <c r="W34" s="24">
        <v>15</v>
      </c>
      <c r="X34" s="24"/>
      <c r="Y34" s="20"/>
      <c r="Z34" s="20"/>
      <c r="AA34" s="24">
        <f t="shared" si="9"/>
        <v>0</v>
      </c>
      <c r="AB34" s="20">
        <f t="shared" si="10"/>
        <v>0</v>
      </c>
      <c r="AC34" s="34">
        <f t="shared" si="11"/>
        <v>8</v>
      </c>
      <c r="AD34" s="32"/>
      <c r="AE34" s="21"/>
      <c r="AF34" s="34"/>
      <c r="AG34" s="32"/>
      <c r="AH34" s="10">
        <f t="shared" si="12"/>
        <v>14</v>
      </c>
      <c r="AI34" s="41">
        <f t="shared" si="13"/>
        <v>9</v>
      </c>
      <c r="AJ34" s="10"/>
      <c r="AK34" s="10"/>
    </row>
    <row r="35" spans="1:37" ht="16.5" x14ac:dyDescent="0.3">
      <c r="A35" s="18">
        <v>21</v>
      </c>
      <c r="B35" s="52">
        <v>7210</v>
      </c>
      <c r="C35" s="52" t="s">
        <v>86</v>
      </c>
      <c r="D35" s="51" t="s">
        <v>101</v>
      </c>
      <c r="E35" s="22">
        <v>11</v>
      </c>
      <c r="F35" s="22">
        <v>11</v>
      </c>
      <c r="G35" s="22">
        <v>12</v>
      </c>
      <c r="H35" s="22">
        <v>12</v>
      </c>
      <c r="I35" s="22">
        <v>10</v>
      </c>
      <c r="J35" s="22">
        <v>10</v>
      </c>
      <c r="K35" s="22">
        <v>11</v>
      </c>
      <c r="L35" s="22">
        <v>10</v>
      </c>
      <c r="M35" s="22">
        <v>10</v>
      </c>
      <c r="N35" s="22">
        <v>12</v>
      </c>
      <c r="O35" s="22">
        <v>14</v>
      </c>
      <c r="P35" s="21">
        <v>10</v>
      </c>
      <c r="Q35" s="21">
        <v>14</v>
      </c>
      <c r="R35" s="21">
        <v>11</v>
      </c>
      <c r="S35" s="33">
        <v>12</v>
      </c>
      <c r="T35" s="25">
        <v>10</v>
      </c>
      <c r="U35" s="23"/>
      <c r="V35" s="22"/>
      <c r="W35" s="24">
        <v>13</v>
      </c>
      <c r="X35" s="24"/>
      <c r="Y35" s="20"/>
      <c r="Z35" s="20"/>
      <c r="AA35" s="24">
        <f t="shared" si="9"/>
        <v>0</v>
      </c>
      <c r="AB35" s="20">
        <f t="shared" si="10"/>
        <v>0</v>
      </c>
      <c r="AC35" s="34">
        <f t="shared" si="11"/>
        <v>7</v>
      </c>
      <c r="AD35" s="32"/>
      <c r="AE35" s="21"/>
      <c r="AF35" s="34"/>
      <c r="AG35" s="32"/>
      <c r="AH35" s="10">
        <f t="shared" si="12"/>
        <v>11</v>
      </c>
      <c r="AI35" s="41">
        <f t="shared" si="13"/>
        <v>7</v>
      </c>
      <c r="AJ35" s="10"/>
      <c r="AK35" s="10"/>
    </row>
    <row r="36" spans="1:37" ht="16.5" x14ac:dyDescent="0.3">
      <c r="A36" s="18">
        <v>22</v>
      </c>
      <c r="B36" s="52">
        <v>7206</v>
      </c>
      <c r="C36" s="52" t="s">
        <v>87</v>
      </c>
      <c r="D36" s="51" t="s">
        <v>101</v>
      </c>
      <c r="E36" s="22">
        <v>14</v>
      </c>
      <c r="F36" s="22">
        <v>14</v>
      </c>
      <c r="G36" s="22">
        <v>13</v>
      </c>
      <c r="H36" s="22">
        <v>13</v>
      </c>
      <c r="I36" s="22">
        <v>14</v>
      </c>
      <c r="J36" s="22">
        <v>13</v>
      </c>
      <c r="K36" s="22">
        <v>14</v>
      </c>
      <c r="L36" s="22">
        <v>12</v>
      </c>
      <c r="M36" s="22">
        <v>10</v>
      </c>
      <c r="N36" s="22">
        <v>15</v>
      </c>
      <c r="O36" s="22">
        <v>15</v>
      </c>
      <c r="P36" s="21">
        <v>12</v>
      </c>
      <c r="Q36" s="21">
        <v>16</v>
      </c>
      <c r="R36" s="21">
        <v>14</v>
      </c>
      <c r="S36" s="33">
        <v>14</v>
      </c>
      <c r="T36" s="25">
        <v>11</v>
      </c>
      <c r="U36" s="23"/>
      <c r="V36" s="22"/>
      <c r="W36" s="24">
        <v>13</v>
      </c>
      <c r="X36" s="24"/>
      <c r="Y36" s="20"/>
      <c r="Z36" s="20"/>
      <c r="AA36" s="24">
        <f t="shared" si="9"/>
        <v>0</v>
      </c>
      <c r="AB36" s="20">
        <f t="shared" si="10"/>
        <v>0</v>
      </c>
      <c r="AC36" s="34">
        <f t="shared" si="11"/>
        <v>7</v>
      </c>
      <c r="AD36" s="32"/>
      <c r="AE36" s="21"/>
      <c r="AF36" s="34"/>
      <c r="AG36" s="32"/>
      <c r="AH36" s="10">
        <f t="shared" si="12"/>
        <v>13</v>
      </c>
      <c r="AI36" s="41">
        <f t="shared" si="13"/>
        <v>9</v>
      </c>
      <c r="AJ36" s="10"/>
      <c r="AK36" s="10"/>
    </row>
    <row r="37" spans="1:37" ht="16.5" x14ac:dyDescent="0.3">
      <c r="A37" s="18">
        <v>23</v>
      </c>
      <c r="B37" s="52">
        <v>7145</v>
      </c>
      <c r="C37" s="52" t="s">
        <v>88</v>
      </c>
      <c r="D37" s="51" t="s">
        <v>1</v>
      </c>
      <c r="E37" s="22">
        <v>11</v>
      </c>
      <c r="F37" s="22">
        <v>14</v>
      </c>
      <c r="G37" s="22">
        <v>12</v>
      </c>
      <c r="H37" s="22">
        <v>13</v>
      </c>
      <c r="I37" s="22">
        <v>11</v>
      </c>
      <c r="J37" s="22">
        <v>10</v>
      </c>
      <c r="K37" s="22">
        <v>13</v>
      </c>
      <c r="L37" s="22">
        <v>10</v>
      </c>
      <c r="M37" s="22">
        <v>10</v>
      </c>
      <c r="N37" s="22">
        <v>13</v>
      </c>
      <c r="O37" s="22">
        <v>10</v>
      </c>
      <c r="P37" s="21">
        <v>11</v>
      </c>
      <c r="Q37" s="21">
        <v>14</v>
      </c>
      <c r="R37" s="21">
        <v>13</v>
      </c>
      <c r="S37" s="33">
        <v>12</v>
      </c>
      <c r="T37" s="25">
        <v>11</v>
      </c>
      <c r="U37" s="23"/>
      <c r="V37" s="22"/>
      <c r="W37" s="24">
        <v>13</v>
      </c>
      <c r="X37" s="24"/>
      <c r="Y37" s="20"/>
      <c r="Z37" s="20"/>
      <c r="AA37" s="24">
        <f t="shared" si="9"/>
        <v>0</v>
      </c>
      <c r="AB37" s="20">
        <f t="shared" si="10"/>
        <v>0</v>
      </c>
      <c r="AC37" s="34">
        <f t="shared" si="11"/>
        <v>7</v>
      </c>
      <c r="AD37" s="32"/>
      <c r="AE37" s="21"/>
      <c r="AF37" s="34"/>
      <c r="AG37" s="32"/>
      <c r="AH37" s="10">
        <f t="shared" si="12"/>
        <v>11</v>
      </c>
      <c r="AI37" s="41">
        <f t="shared" si="13"/>
        <v>7</v>
      </c>
      <c r="AJ37" s="10"/>
      <c r="AK37" s="10"/>
    </row>
    <row r="38" spans="1:37" ht="16.5" x14ac:dyDescent="0.3">
      <c r="A38" s="18">
        <v>24</v>
      </c>
      <c r="B38" s="52">
        <v>7334</v>
      </c>
      <c r="C38" s="52" t="s">
        <v>89</v>
      </c>
      <c r="D38" s="51" t="s">
        <v>1</v>
      </c>
      <c r="E38" s="22">
        <v>12</v>
      </c>
      <c r="F38" s="22">
        <v>13</v>
      </c>
      <c r="G38" s="22">
        <v>13</v>
      </c>
      <c r="H38" s="22">
        <v>13</v>
      </c>
      <c r="I38" s="22">
        <v>14</v>
      </c>
      <c r="J38" s="22">
        <v>10</v>
      </c>
      <c r="K38" s="22">
        <v>12</v>
      </c>
      <c r="L38" s="22">
        <v>10</v>
      </c>
      <c r="M38" s="22">
        <v>12</v>
      </c>
      <c r="N38" s="22">
        <v>14</v>
      </c>
      <c r="O38" s="22">
        <v>12</v>
      </c>
      <c r="P38" s="21">
        <v>12</v>
      </c>
      <c r="Q38" s="21">
        <v>16</v>
      </c>
      <c r="R38" s="21">
        <v>12</v>
      </c>
      <c r="S38" s="33">
        <v>12</v>
      </c>
      <c r="T38" s="25">
        <v>10</v>
      </c>
      <c r="U38" s="23"/>
      <c r="V38" s="22"/>
      <c r="W38" s="24">
        <v>13</v>
      </c>
      <c r="X38" s="24"/>
      <c r="Y38" s="20"/>
      <c r="Z38" s="20"/>
      <c r="AA38" s="24">
        <f t="shared" si="9"/>
        <v>0</v>
      </c>
      <c r="AB38" s="20">
        <f t="shared" si="10"/>
        <v>0</v>
      </c>
      <c r="AC38" s="34">
        <f t="shared" si="11"/>
        <v>7</v>
      </c>
      <c r="AD38" s="32"/>
      <c r="AE38" s="21"/>
      <c r="AF38" s="34"/>
      <c r="AG38" s="32"/>
      <c r="AH38" s="10">
        <f t="shared" si="12"/>
        <v>12</v>
      </c>
      <c r="AI38" s="41">
        <f t="shared" si="13"/>
        <v>8</v>
      </c>
      <c r="AJ38" s="10"/>
      <c r="AK38" s="10"/>
    </row>
    <row r="39" spans="1:37" ht="16.5" x14ac:dyDescent="0.3">
      <c r="A39" s="18">
        <v>25</v>
      </c>
      <c r="B39" s="52">
        <v>7110</v>
      </c>
      <c r="C39" s="52" t="s">
        <v>90</v>
      </c>
      <c r="D39" s="51" t="s">
        <v>1</v>
      </c>
      <c r="E39" s="22">
        <v>11</v>
      </c>
      <c r="F39" s="22">
        <v>12</v>
      </c>
      <c r="G39" s="22">
        <v>13</v>
      </c>
      <c r="H39" s="22">
        <v>14</v>
      </c>
      <c r="I39" s="22">
        <v>11</v>
      </c>
      <c r="J39" s="22">
        <v>10</v>
      </c>
      <c r="K39" s="22">
        <v>11</v>
      </c>
      <c r="L39" s="22">
        <v>11</v>
      </c>
      <c r="M39" s="22">
        <v>10</v>
      </c>
      <c r="N39" s="22">
        <v>13</v>
      </c>
      <c r="O39" s="22">
        <v>13</v>
      </c>
      <c r="P39" s="21">
        <v>11</v>
      </c>
      <c r="Q39" s="21">
        <v>15</v>
      </c>
      <c r="R39" s="21">
        <v>13</v>
      </c>
      <c r="S39" s="33">
        <v>13</v>
      </c>
      <c r="T39" s="25">
        <v>11</v>
      </c>
      <c r="U39" s="23"/>
      <c r="V39" s="22"/>
      <c r="W39" s="24">
        <v>13</v>
      </c>
      <c r="X39" s="24"/>
      <c r="Y39" s="20"/>
      <c r="Z39" s="20"/>
      <c r="AA39" s="24">
        <f t="shared" si="9"/>
        <v>0</v>
      </c>
      <c r="AB39" s="20">
        <f t="shared" si="10"/>
        <v>0</v>
      </c>
      <c r="AC39" s="34">
        <f t="shared" si="11"/>
        <v>7</v>
      </c>
      <c r="AD39" s="32"/>
      <c r="AE39" s="21"/>
      <c r="AF39" s="34"/>
      <c r="AG39" s="32"/>
      <c r="AH39" s="10">
        <f t="shared" si="12"/>
        <v>12</v>
      </c>
      <c r="AI39" s="41">
        <f t="shared" si="13"/>
        <v>8</v>
      </c>
      <c r="AJ39" s="10"/>
      <c r="AK39" s="10"/>
    </row>
    <row r="40" spans="1:37" ht="16.5" x14ac:dyDescent="0.3">
      <c r="A40" s="18">
        <v>26</v>
      </c>
      <c r="B40" s="52">
        <v>7120</v>
      </c>
      <c r="C40" s="52" t="s">
        <v>91</v>
      </c>
      <c r="D40" s="51" t="s">
        <v>101</v>
      </c>
      <c r="E40" s="22">
        <v>14</v>
      </c>
      <c r="F40" s="22">
        <v>12</v>
      </c>
      <c r="G40" s="22">
        <v>14</v>
      </c>
      <c r="H40" s="22">
        <v>13</v>
      </c>
      <c r="I40" s="22">
        <v>10</v>
      </c>
      <c r="J40" s="22">
        <v>10</v>
      </c>
      <c r="K40" s="22">
        <v>10</v>
      </c>
      <c r="L40" s="22">
        <v>10</v>
      </c>
      <c r="M40" s="22">
        <v>10</v>
      </c>
      <c r="N40" s="22">
        <v>13</v>
      </c>
      <c r="O40" s="22">
        <v>13</v>
      </c>
      <c r="P40" s="21">
        <v>11</v>
      </c>
      <c r="Q40" s="21">
        <v>14</v>
      </c>
      <c r="R40" s="21">
        <v>11</v>
      </c>
      <c r="S40" s="33">
        <v>14</v>
      </c>
      <c r="T40" s="25">
        <v>10</v>
      </c>
      <c r="U40" s="23"/>
      <c r="V40" s="22"/>
      <c r="W40" s="24">
        <v>13</v>
      </c>
      <c r="X40" s="24"/>
      <c r="Y40" s="20"/>
      <c r="Z40" s="20"/>
      <c r="AA40" s="24">
        <f t="shared" si="9"/>
        <v>0</v>
      </c>
      <c r="AB40" s="20">
        <f t="shared" si="10"/>
        <v>0</v>
      </c>
      <c r="AC40" s="34">
        <f t="shared" si="11"/>
        <v>7</v>
      </c>
      <c r="AD40" s="32"/>
      <c r="AE40" s="21"/>
      <c r="AF40" s="34"/>
      <c r="AG40" s="32"/>
      <c r="AH40" s="10">
        <f t="shared" si="12"/>
        <v>12</v>
      </c>
      <c r="AI40" s="41">
        <f t="shared" si="13"/>
        <v>8</v>
      </c>
      <c r="AJ40" s="10"/>
      <c r="AK40" s="10"/>
    </row>
    <row r="41" spans="1:37" ht="16.5" x14ac:dyDescent="0.3">
      <c r="A41" s="18">
        <v>27</v>
      </c>
      <c r="B41" s="52">
        <v>7174</v>
      </c>
      <c r="C41" s="52" t="s">
        <v>92</v>
      </c>
      <c r="D41" s="51" t="s">
        <v>1</v>
      </c>
      <c r="E41" s="22">
        <v>11</v>
      </c>
      <c r="F41" s="22">
        <v>13</v>
      </c>
      <c r="G41" s="22">
        <v>14</v>
      </c>
      <c r="H41" s="22">
        <v>14</v>
      </c>
      <c r="I41" s="22">
        <v>11</v>
      </c>
      <c r="J41" s="22">
        <v>10</v>
      </c>
      <c r="K41" s="22">
        <v>11</v>
      </c>
      <c r="L41" s="22">
        <v>11</v>
      </c>
      <c r="M41" s="22">
        <v>10</v>
      </c>
      <c r="N41" s="22">
        <v>13</v>
      </c>
      <c r="O41" s="22">
        <v>12</v>
      </c>
      <c r="P41" s="21">
        <v>11</v>
      </c>
      <c r="Q41" s="21">
        <v>15</v>
      </c>
      <c r="R41" s="21">
        <v>12</v>
      </c>
      <c r="S41" s="33">
        <v>13</v>
      </c>
      <c r="T41" s="25">
        <v>10</v>
      </c>
      <c r="U41" s="23"/>
      <c r="V41" s="22"/>
      <c r="W41" s="24">
        <v>10</v>
      </c>
      <c r="X41" s="24"/>
      <c r="Y41" s="20"/>
      <c r="Z41" s="20"/>
      <c r="AA41" s="24">
        <f t="shared" si="9"/>
        <v>0</v>
      </c>
      <c r="AB41" s="20">
        <f t="shared" si="10"/>
        <v>0</v>
      </c>
      <c r="AC41" s="34">
        <f t="shared" si="11"/>
        <v>5</v>
      </c>
      <c r="AD41" s="32"/>
      <c r="AE41" s="21"/>
      <c r="AF41" s="34"/>
      <c r="AG41" s="32"/>
      <c r="AH41" s="10">
        <f t="shared" si="12"/>
        <v>12</v>
      </c>
      <c r="AI41" s="41">
        <f t="shared" si="13"/>
        <v>8</v>
      </c>
      <c r="AJ41" s="10"/>
      <c r="AK41" s="10"/>
    </row>
    <row r="42" spans="1:37" ht="16.5" x14ac:dyDescent="0.3">
      <c r="A42" s="18">
        <v>28</v>
      </c>
      <c r="B42" s="52">
        <v>7134</v>
      </c>
      <c r="C42" s="52" t="s">
        <v>93</v>
      </c>
      <c r="D42" s="51" t="s">
        <v>1</v>
      </c>
      <c r="E42" s="22">
        <v>14</v>
      </c>
      <c r="F42" s="22">
        <v>16</v>
      </c>
      <c r="G42" s="22">
        <v>13</v>
      </c>
      <c r="H42" s="22">
        <v>13</v>
      </c>
      <c r="I42" s="22">
        <v>13</v>
      </c>
      <c r="J42" s="22">
        <v>11</v>
      </c>
      <c r="K42" s="22">
        <v>13</v>
      </c>
      <c r="L42" s="22">
        <v>11</v>
      </c>
      <c r="M42" s="22">
        <v>12</v>
      </c>
      <c r="N42" s="22">
        <v>15</v>
      </c>
      <c r="O42" s="22">
        <v>12</v>
      </c>
      <c r="P42" s="21">
        <v>12</v>
      </c>
      <c r="Q42" s="21">
        <v>15</v>
      </c>
      <c r="R42" s="21">
        <v>13</v>
      </c>
      <c r="S42" s="33">
        <v>14</v>
      </c>
      <c r="T42" s="25">
        <v>13</v>
      </c>
      <c r="U42" s="23"/>
      <c r="V42" s="22"/>
      <c r="W42" s="24">
        <v>11</v>
      </c>
      <c r="X42" s="24"/>
      <c r="Y42" s="20"/>
      <c r="Z42" s="20"/>
      <c r="AA42" s="24">
        <f t="shared" si="9"/>
        <v>0</v>
      </c>
      <c r="AB42" s="20">
        <f t="shared" si="10"/>
        <v>0</v>
      </c>
      <c r="AC42" s="34">
        <f t="shared" si="11"/>
        <v>6</v>
      </c>
      <c r="AD42" s="32"/>
      <c r="AE42" s="21"/>
      <c r="AF42" s="34"/>
      <c r="AG42" s="32"/>
      <c r="AH42" s="10">
        <f t="shared" si="12"/>
        <v>13</v>
      </c>
      <c r="AI42" s="41">
        <f t="shared" si="13"/>
        <v>9</v>
      </c>
      <c r="AJ42" s="10"/>
      <c r="AK42" s="10"/>
    </row>
    <row r="43" spans="1:37" ht="16.5" x14ac:dyDescent="0.3">
      <c r="A43" s="18">
        <v>29</v>
      </c>
      <c r="B43" s="52">
        <v>7194</v>
      </c>
      <c r="C43" s="52" t="s">
        <v>94</v>
      </c>
      <c r="D43" s="51" t="s">
        <v>101</v>
      </c>
      <c r="E43" s="22">
        <v>13</v>
      </c>
      <c r="F43" s="22">
        <v>12</v>
      </c>
      <c r="G43" s="22">
        <v>13</v>
      </c>
      <c r="H43" s="22">
        <v>12</v>
      </c>
      <c r="I43" s="22">
        <v>13</v>
      </c>
      <c r="J43" s="22">
        <v>11</v>
      </c>
      <c r="K43" s="22">
        <v>14</v>
      </c>
      <c r="L43" s="22">
        <v>10</v>
      </c>
      <c r="M43" s="22">
        <v>12</v>
      </c>
      <c r="N43" s="22">
        <v>13</v>
      </c>
      <c r="O43" s="22">
        <v>12</v>
      </c>
      <c r="P43" s="21">
        <v>11</v>
      </c>
      <c r="Q43" s="21">
        <v>15</v>
      </c>
      <c r="R43" s="21">
        <v>14</v>
      </c>
      <c r="S43" s="33">
        <v>13</v>
      </c>
      <c r="T43" s="25">
        <v>11</v>
      </c>
      <c r="U43" s="23"/>
      <c r="V43" s="22"/>
      <c r="W43" s="24">
        <v>12</v>
      </c>
      <c r="X43" s="24"/>
      <c r="Y43" s="20"/>
      <c r="Z43" s="20"/>
      <c r="AA43" s="24">
        <f t="shared" si="9"/>
        <v>0</v>
      </c>
      <c r="AB43" s="20">
        <f t="shared" si="10"/>
        <v>0</v>
      </c>
      <c r="AC43" s="34">
        <f t="shared" si="11"/>
        <v>6</v>
      </c>
      <c r="AD43" s="32"/>
      <c r="AE43" s="21"/>
      <c r="AF43" s="34"/>
      <c r="AG43" s="32"/>
      <c r="AH43" s="10">
        <f t="shared" si="12"/>
        <v>12</v>
      </c>
      <c r="AI43" s="41">
        <f t="shared" si="13"/>
        <v>8</v>
      </c>
      <c r="AJ43" s="10"/>
      <c r="AK43" s="10"/>
    </row>
    <row r="44" spans="1:37" ht="16.5" x14ac:dyDescent="0.3">
      <c r="A44" s="18">
        <v>30</v>
      </c>
      <c r="B44" s="52">
        <v>7132</v>
      </c>
      <c r="C44" s="52" t="s">
        <v>95</v>
      </c>
      <c r="D44" s="51" t="s">
        <v>101</v>
      </c>
      <c r="E44" s="22">
        <v>13</v>
      </c>
      <c r="F44" s="22">
        <v>15</v>
      </c>
      <c r="G44" s="22">
        <v>13</v>
      </c>
      <c r="H44" s="22">
        <v>13</v>
      </c>
      <c r="I44" s="22">
        <v>13</v>
      </c>
      <c r="J44" s="22">
        <v>12</v>
      </c>
      <c r="K44" s="22">
        <v>13</v>
      </c>
      <c r="L44" s="22">
        <v>11</v>
      </c>
      <c r="M44" s="22">
        <v>12</v>
      </c>
      <c r="N44" s="22">
        <v>15</v>
      </c>
      <c r="O44" s="22">
        <v>12</v>
      </c>
      <c r="P44" s="21">
        <v>12</v>
      </c>
      <c r="Q44" s="21">
        <v>18</v>
      </c>
      <c r="R44" s="21">
        <v>14</v>
      </c>
      <c r="S44" s="33">
        <v>13</v>
      </c>
      <c r="T44" s="25">
        <v>12</v>
      </c>
      <c r="U44" s="23"/>
      <c r="V44" s="22"/>
      <c r="W44" s="24">
        <v>11</v>
      </c>
      <c r="X44" s="24"/>
      <c r="Y44" s="20"/>
      <c r="Z44" s="20"/>
      <c r="AA44" s="24">
        <f t="shared" si="9"/>
        <v>0</v>
      </c>
      <c r="AB44" s="20">
        <f t="shared" si="10"/>
        <v>0</v>
      </c>
      <c r="AC44" s="34">
        <f t="shared" si="11"/>
        <v>6</v>
      </c>
      <c r="AD44" s="32"/>
      <c r="AE44" s="21"/>
      <c r="AF44" s="34"/>
      <c r="AG44" s="32"/>
      <c r="AH44" s="10">
        <f t="shared" si="12"/>
        <v>13</v>
      </c>
      <c r="AI44" s="41">
        <f t="shared" si="13"/>
        <v>9</v>
      </c>
      <c r="AJ44" s="10"/>
      <c r="AK44" s="10"/>
    </row>
    <row r="45" spans="1:37" ht="16.5" x14ac:dyDescent="0.3">
      <c r="A45" s="18">
        <v>31</v>
      </c>
      <c r="B45" s="52">
        <v>7166</v>
      </c>
      <c r="C45" s="52" t="s">
        <v>96</v>
      </c>
      <c r="D45" s="51" t="s">
        <v>1</v>
      </c>
      <c r="E45" s="22">
        <v>12</v>
      </c>
      <c r="F45" s="22">
        <v>13</v>
      </c>
      <c r="G45" s="22">
        <v>13</v>
      </c>
      <c r="H45" s="22">
        <v>13</v>
      </c>
      <c r="I45" s="22">
        <v>11</v>
      </c>
      <c r="J45" s="22">
        <v>10</v>
      </c>
      <c r="K45" s="22">
        <v>12</v>
      </c>
      <c r="L45" s="22">
        <v>11</v>
      </c>
      <c r="M45" s="22">
        <v>11</v>
      </c>
      <c r="N45" s="22">
        <v>14</v>
      </c>
      <c r="O45" s="22">
        <v>16</v>
      </c>
      <c r="P45" s="21">
        <v>13</v>
      </c>
      <c r="Q45" s="21">
        <v>14</v>
      </c>
      <c r="R45" s="21">
        <v>14</v>
      </c>
      <c r="S45" s="33">
        <v>12</v>
      </c>
      <c r="T45" s="25">
        <v>11</v>
      </c>
      <c r="U45" s="23"/>
      <c r="V45" s="22"/>
      <c r="W45" s="24">
        <v>12</v>
      </c>
      <c r="X45" s="24"/>
      <c r="Y45" s="20"/>
      <c r="Z45" s="20"/>
      <c r="AA45" s="24">
        <f t="shared" si="9"/>
        <v>0</v>
      </c>
      <c r="AB45" s="20">
        <f t="shared" si="10"/>
        <v>0</v>
      </c>
      <c r="AC45" s="34">
        <f t="shared" si="11"/>
        <v>6</v>
      </c>
      <c r="AD45" s="32"/>
      <c r="AE45" s="21"/>
      <c r="AF45" s="34"/>
      <c r="AG45" s="32"/>
      <c r="AH45" s="10">
        <f t="shared" si="12"/>
        <v>12</v>
      </c>
      <c r="AI45" s="41">
        <f t="shared" si="13"/>
        <v>8</v>
      </c>
      <c r="AJ45" s="10" t="s">
        <v>162</v>
      </c>
      <c r="AK45" s="10"/>
    </row>
    <row r="46" spans="1:37" ht="16.5" x14ac:dyDescent="0.3">
      <c r="A46" s="18">
        <v>32</v>
      </c>
      <c r="B46" s="52">
        <v>9269</v>
      </c>
      <c r="C46" s="52" t="s">
        <v>97</v>
      </c>
      <c r="D46" s="51" t="s">
        <v>1</v>
      </c>
      <c r="E46" s="22">
        <v>13</v>
      </c>
      <c r="F46" s="22">
        <v>12</v>
      </c>
      <c r="G46" s="22">
        <v>13</v>
      </c>
      <c r="H46" s="22">
        <v>13</v>
      </c>
      <c r="I46" s="22">
        <v>13</v>
      </c>
      <c r="J46" s="22">
        <v>11</v>
      </c>
      <c r="K46" s="22">
        <v>11</v>
      </c>
      <c r="L46" s="22">
        <v>12</v>
      </c>
      <c r="M46" s="22">
        <v>10</v>
      </c>
      <c r="N46" s="22">
        <v>14</v>
      </c>
      <c r="O46" s="22">
        <v>13</v>
      </c>
      <c r="P46" s="21">
        <v>12</v>
      </c>
      <c r="Q46" s="21">
        <v>14</v>
      </c>
      <c r="R46" s="21">
        <v>10</v>
      </c>
      <c r="S46" s="33">
        <v>13</v>
      </c>
      <c r="T46" s="25">
        <v>11</v>
      </c>
      <c r="U46" s="23"/>
      <c r="V46" s="22"/>
      <c r="W46" s="24">
        <v>12</v>
      </c>
      <c r="X46" s="24"/>
      <c r="Y46" s="20"/>
      <c r="Z46" s="20"/>
      <c r="AA46" s="24">
        <f t="shared" si="9"/>
        <v>0</v>
      </c>
      <c r="AB46" s="20">
        <f t="shared" si="10"/>
        <v>0</v>
      </c>
      <c r="AC46" s="34">
        <f t="shared" si="11"/>
        <v>6</v>
      </c>
      <c r="AD46" s="32"/>
      <c r="AE46" s="21"/>
      <c r="AF46" s="34"/>
      <c r="AG46" s="32"/>
      <c r="AH46" s="10">
        <f t="shared" si="12"/>
        <v>12</v>
      </c>
      <c r="AI46" s="41">
        <f t="shared" si="13"/>
        <v>8</v>
      </c>
      <c r="AJ46" s="10"/>
      <c r="AK46" s="10"/>
    </row>
    <row r="47" spans="1:37" ht="16.5" x14ac:dyDescent="0.3">
      <c r="A47" s="18">
        <v>33</v>
      </c>
      <c r="B47" s="52">
        <v>9268</v>
      </c>
      <c r="C47" s="52" t="s">
        <v>98</v>
      </c>
      <c r="D47" s="51" t="s">
        <v>1</v>
      </c>
      <c r="E47" s="22">
        <v>10</v>
      </c>
      <c r="F47" s="22">
        <v>13</v>
      </c>
      <c r="G47" s="22">
        <v>13</v>
      </c>
      <c r="H47" s="22">
        <v>13</v>
      </c>
      <c r="I47" s="22">
        <v>10</v>
      </c>
      <c r="J47" s="22">
        <v>10</v>
      </c>
      <c r="K47" s="22">
        <v>11</v>
      </c>
      <c r="L47" s="22">
        <v>11</v>
      </c>
      <c r="M47" s="22">
        <v>10</v>
      </c>
      <c r="N47" s="22">
        <v>14</v>
      </c>
      <c r="O47" s="22">
        <v>13</v>
      </c>
      <c r="P47" s="21">
        <v>10</v>
      </c>
      <c r="Q47" s="21">
        <v>14</v>
      </c>
      <c r="R47" s="21">
        <v>10</v>
      </c>
      <c r="S47" s="33">
        <v>13</v>
      </c>
      <c r="T47" s="25">
        <v>10</v>
      </c>
      <c r="U47" s="23"/>
      <c r="V47" s="22"/>
      <c r="W47" s="24">
        <v>10</v>
      </c>
      <c r="X47" s="24"/>
      <c r="Y47" s="20"/>
      <c r="Z47" s="20"/>
      <c r="AA47" s="24">
        <f t="shared" si="9"/>
        <v>0</v>
      </c>
      <c r="AB47" s="20">
        <f t="shared" si="10"/>
        <v>0</v>
      </c>
      <c r="AC47" s="34">
        <f t="shared" si="11"/>
        <v>5</v>
      </c>
      <c r="AD47" s="32"/>
      <c r="AE47" s="21"/>
      <c r="AF47" s="34"/>
      <c r="AG47" s="32"/>
      <c r="AH47" s="10">
        <f t="shared" si="12"/>
        <v>11</v>
      </c>
      <c r="AI47" s="41">
        <f t="shared" si="13"/>
        <v>7</v>
      </c>
      <c r="AJ47" s="10"/>
      <c r="AK47" s="10"/>
    </row>
    <row r="48" spans="1:37" ht="16.5" x14ac:dyDescent="0.3">
      <c r="A48" s="18">
        <v>34</v>
      </c>
      <c r="B48" s="52">
        <v>9271</v>
      </c>
      <c r="C48" s="52" t="s">
        <v>99</v>
      </c>
      <c r="D48" s="51" t="s">
        <v>101</v>
      </c>
      <c r="E48" s="22">
        <v>14</v>
      </c>
      <c r="F48" s="22">
        <v>15</v>
      </c>
      <c r="G48" s="22">
        <v>15</v>
      </c>
      <c r="H48" s="22">
        <v>13</v>
      </c>
      <c r="I48" s="22">
        <v>16</v>
      </c>
      <c r="J48" s="22">
        <v>13</v>
      </c>
      <c r="K48" s="22">
        <v>15</v>
      </c>
      <c r="L48" s="22">
        <v>15</v>
      </c>
      <c r="M48" s="22">
        <v>11</v>
      </c>
      <c r="N48" s="22">
        <v>17</v>
      </c>
      <c r="O48" s="22">
        <v>15</v>
      </c>
      <c r="P48" s="21">
        <v>11</v>
      </c>
      <c r="Q48" s="21">
        <v>16</v>
      </c>
      <c r="R48" s="21">
        <v>13</v>
      </c>
      <c r="S48" s="33">
        <v>15</v>
      </c>
      <c r="T48" s="25">
        <v>12</v>
      </c>
      <c r="U48" s="23"/>
      <c r="V48" s="22"/>
      <c r="W48" s="24">
        <v>11</v>
      </c>
      <c r="X48" s="24"/>
      <c r="Y48" s="20"/>
      <c r="Z48" s="20"/>
      <c r="AA48" s="24">
        <f t="shared" si="9"/>
        <v>0</v>
      </c>
      <c r="AB48" s="20">
        <f t="shared" si="10"/>
        <v>0</v>
      </c>
      <c r="AC48" s="34">
        <f t="shared" si="11"/>
        <v>6</v>
      </c>
      <c r="AD48" s="32"/>
      <c r="AE48" s="21"/>
      <c r="AF48" s="34"/>
      <c r="AG48" s="32"/>
      <c r="AH48" s="10">
        <f t="shared" si="12"/>
        <v>14</v>
      </c>
      <c r="AI48" s="41">
        <f t="shared" si="13"/>
        <v>9</v>
      </c>
      <c r="AJ48" s="10"/>
      <c r="AK48" s="10"/>
    </row>
    <row r="49" spans="1:37" ht="17.25" thickBot="1" x14ac:dyDescent="0.35">
      <c r="A49" s="18">
        <v>35</v>
      </c>
      <c r="B49" s="52">
        <v>9270</v>
      </c>
      <c r="C49" s="52" t="s">
        <v>100</v>
      </c>
      <c r="D49" s="51" t="s">
        <v>101</v>
      </c>
      <c r="E49" s="22">
        <v>12</v>
      </c>
      <c r="F49" s="22">
        <v>13</v>
      </c>
      <c r="G49" s="22">
        <v>15</v>
      </c>
      <c r="H49" s="22">
        <v>13</v>
      </c>
      <c r="I49" s="22">
        <v>10</v>
      </c>
      <c r="J49" s="22">
        <v>11</v>
      </c>
      <c r="K49" s="22">
        <v>15</v>
      </c>
      <c r="L49" s="22">
        <v>14</v>
      </c>
      <c r="M49" s="22">
        <v>11</v>
      </c>
      <c r="N49" s="22">
        <v>15</v>
      </c>
      <c r="O49" s="22">
        <v>13</v>
      </c>
      <c r="P49" s="21">
        <v>11</v>
      </c>
      <c r="Q49" s="21">
        <v>15</v>
      </c>
      <c r="R49" s="21">
        <v>12</v>
      </c>
      <c r="S49" s="33">
        <v>13</v>
      </c>
      <c r="T49" s="25">
        <v>11</v>
      </c>
      <c r="U49" s="23"/>
      <c r="V49" s="22"/>
      <c r="W49" s="24">
        <v>10</v>
      </c>
      <c r="X49" s="24"/>
      <c r="Y49" s="20"/>
      <c r="Z49" s="20"/>
      <c r="AA49" s="24">
        <f t="shared" si="9"/>
        <v>0</v>
      </c>
      <c r="AB49" s="20">
        <f t="shared" si="10"/>
        <v>0</v>
      </c>
      <c r="AC49" s="34">
        <f t="shared" si="11"/>
        <v>5</v>
      </c>
      <c r="AD49" s="32"/>
      <c r="AE49" s="21"/>
      <c r="AF49" s="34"/>
      <c r="AG49" s="32"/>
      <c r="AH49" s="10">
        <f t="shared" si="12"/>
        <v>12</v>
      </c>
      <c r="AI49" s="41">
        <f t="shared" si="13"/>
        <v>8</v>
      </c>
      <c r="AJ49" s="10"/>
      <c r="AK49" s="10" t="s">
        <v>37</v>
      </c>
    </row>
    <row r="50" spans="1:37" x14ac:dyDescent="0.25">
      <c r="A50" s="60" t="s">
        <v>14</v>
      </c>
      <c r="B50" s="61"/>
      <c r="C50" s="61"/>
      <c r="D50" s="62"/>
      <c r="E50" s="60" t="s">
        <v>23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2"/>
      <c r="U50" s="60" t="s">
        <v>163</v>
      </c>
      <c r="V50" s="61"/>
      <c r="W50" s="61"/>
      <c r="X50" s="61"/>
      <c r="Y50" s="61"/>
      <c r="Z50" s="61"/>
      <c r="AA50" s="61"/>
      <c r="AB50" s="61"/>
      <c r="AC50" s="61"/>
      <c r="AD50" s="60" t="s">
        <v>60</v>
      </c>
      <c r="AE50" s="61"/>
      <c r="AF50" s="61"/>
      <c r="AG50" s="62"/>
      <c r="AH50" s="37"/>
      <c r="AI50" s="37"/>
      <c r="AJ50" s="1"/>
      <c r="AK50" s="1"/>
    </row>
    <row r="51" spans="1:37" ht="15.75" thickBot="1" x14ac:dyDescent="0.3">
      <c r="A51" s="79" t="s">
        <v>15</v>
      </c>
      <c r="B51" s="80"/>
      <c r="C51" s="80"/>
      <c r="D51" s="81"/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9"/>
      <c r="U51" s="27"/>
      <c r="V51" s="28"/>
      <c r="W51" s="82"/>
      <c r="X51" s="82"/>
      <c r="Y51" s="82"/>
      <c r="Z51" s="82"/>
      <c r="AA51" s="82"/>
      <c r="AB51" s="82"/>
      <c r="AC51" s="83"/>
      <c r="AD51" s="30"/>
      <c r="AE51" s="31"/>
      <c r="AF51" s="82"/>
      <c r="AG51" s="83"/>
      <c r="AH51" s="35"/>
      <c r="AI51" s="35"/>
      <c r="AJ51" s="1"/>
      <c r="AK51" s="1"/>
    </row>
    <row r="52" spans="1:37" ht="15.75" thickBot="1" x14ac:dyDescent="0.3"/>
    <row r="53" spans="1:37" x14ac:dyDescent="0.25">
      <c r="A53" s="9" t="s">
        <v>10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8"/>
    </row>
    <row r="54" spans="1:37" x14ac:dyDescent="0.25">
      <c r="A54" s="11"/>
      <c r="AK54" s="12"/>
    </row>
    <row r="55" spans="1:37" ht="15.75" thickBot="1" x14ac:dyDescent="0.3">
      <c r="A55" s="7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6"/>
    </row>
    <row r="58" spans="1:37" x14ac:dyDescent="0.25">
      <c r="B58" s="2" t="s">
        <v>52</v>
      </c>
      <c r="D58" s="2" t="s">
        <v>40</v>
      </c>
      <c r="E58" s="2"/>
      <c r="W58" s="2" t="s">
        <v>36</v>
      </c>
      <c r="X58" s="2"/>
      <c r="Y58" s="2"/>
      <c r="Z58" s="2"/>
      <c r="AA58" s="2" t="s">
        <v>13</v>
      </c>
    </row>
    <row r="59" spans="1:37" x14ac:dyDescent="0.25">
      <c r="A59" s="2" t="s">
        <v>41</v>
      </c>
      <c r="D59" s="2" t="s">
        <v>39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X59" s="2" t="s">
        <v>50</v>
      </c>
      <c r="Y59" s="2"/>
      <c r="Z59" s="2"/>
      <c r="AA59" s="2"/>
      <c r="AB59" s="2"/>
    </row>
    <row r="60" spans="1:37" x14ac:dyDescent="0.25">
      <c r="A60" s="39" t="s">
        <v>62</v>
      </c>
      <c r="F60" s="38" t="s">
        <v>53</v>
      </c>
      <c r="R60" s="2"/>
      <c r="S60" s="2"/>
      <c r="T60" s="2"/>
      <c r="U60" s="2"/>
      <c r="V60" s="2"/>
      <c r="X60" s="2" t="s">
        <v>51</v>
      </c>
      <c r="Y60" s="2"/>
      <c r="Z60" s="2"/>
      <c r="AA60" s="2"/>
      <c r="AB60" s="2"/>
    </row>
    <row r="61" spans="1:3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</sheetData>
  <mergeCells count="42">
    <mergeCell ref="C13:C14"/>
    <mergeCell ref="AJ13:AJ14"/>
    <mergeCell ref="AK13:AK14"/>
    <mergeCell ref="A50:D50"/>
    <mergeCell ref="A51:D51"/>
    <mergeCell ref="W51:AC51"/>
    <mergeCell ref="AF51:AG51"/>
    <mergeCell ref="S12:S14"/>
    <mergeCell ref="T12:T14"/>
    <mergeCell ref="E50:T50"/>
    <mergeCell ref="D13:D14"/>
    <mergeCell ref="W13:W14"/>
    <mergeCell ref="O12:O14"/>
    <mergeCell ref="P12:P14"/>
    <mergeCell ref="E12:E14"/>
    <mergeCell ref="F12:F14"/>
    <mergeCell ref="G12:G14"/>
    <mergeCell ref="H12:H14"/>
    <mergeCell ref="K12:K14"/>
    <mergeCell ref="L12:L14"/>
    <mergeCell ref="I12:I14"/>
    <mergeCell ref="J12:J14"/>
    <mergeCell ref="N12:N14"/>
    <mergeCell ref="M12:M14"/>
    <mergeCell ref="Q12:Q14"/>
    <mergeCell ref="R12:R14"/>
    <mergeCell ref="U12:AC12"/>
    <mergeCell ref="U13:V13"/>
    <mergeCell ref="U50:AC50"/>
    <mergeCell ref="X13:X14"/>
    <mergeCell ref="AA13:AA14"/>
    <mergeCell ref="AB13:AB14"/>
    <mergeCell ref="AC13:AC14"/>
    <mergeCell ref="Y13:Y14"/>
    <mergeCell ref="Z13:Z14"/>
    <mergeCell ref="AI12:AI14"/>
    <mergeCell ref="AG12:AG14"/>
    <mergeCell ref="AH12:AH14"/>
    <mergeCell ref="AD50:AG50"/>
    <mergeCell ref="AD13:AE13"/>
    <mergeCell ref="AF13:AF14"/>
    <mergeCell ref="AD12:AF12"/>
  </mergeCells>
  <conditionalFormatting sqref="E15:X45 E46:I49 K46:X49 AA15:AI49">
    <cfRule type="cellIs" dxfId="37" priority="34" operator="lessThan">
      <formula>10</formula>
    </cfRule>
    <cfRule type="cellIs" dxfId="36" priority="35" operator="greaterThan">
      <formula>9</formula>
    </cfRule>
  </conditionalFormatting>
  <conditionalFormatting sqref="AJ15 AJ17:AJ22">
    <cfRule type="containsText" dxfId="35" priority="24" operator="containsText" text="PAP">
      <formula>NOT(ISERROR(SEARCH("PAP",AJ15)))</formula>
    </cfRule>
  </conditionalFormatting>
  <conditionalFormatting sqref="AJ18">
    <cfRule type="containsText" dxfId="34" priority="23" operator="containsText" text="DEF: PT, ECS, PAP">
      <formula>NOT(ISERROR(SEARCH("DEF: PT, ECS, PAP",AJ18)))</formula>
    </cfRule>
  </conditionalFormatting>
  <conditionalFormatting sqref="AJ23">
    <cfRule type="containsText" dxfId="33" priority="26" operator="containsText" text="DEF: PT, ECS, PAP">
      <formula>NOT(ISERROR(SEARCH("DEF: PT, ECS, PAP",AJ23)))</formula>
    </cfRule>
    <cfRule type="containsText" dxfId="32" priority="27" operator="containsText" text="PAP">
      <formula>NOT(ISERROR(SEARCH("PAP",AJ23)))</formula>
    </cfRule>
  </conditionalFormatting>
  <conditionalFormatting sqref="AK15:AK49">
    <cfRule type="containsText" dxfId="31" priority="36" operator="containsText" text="REPROVADO">
      <formula>NOT(ISERROR(SEARCH("REPROVADO",AK15)))</formula>
    </cfRule>
    <cfRule type="containsText" dxfId="30" priority="37" operator="containsText" text="APROVADO">
      <formula>NOT(ISERROR(SEARCH("APROVADO",AK15)))</formula>
    </cfRule>
    <cfRule type="containsText" dxfId="29" priority="154" operator="containsText" text="N/TRANSITA">
      <formula>NOT(ISERROR(SEARCH("N/TRANSITA",AK15)))</formula>
    </cfRule>
    <cfRule type="containsText" dxfId="28" priority="155" operator="containsText" text="TRANSITA">
      <formula>NOT(ISERROR(SEARCH("TRANSITA",AK15)))</formula>
    </cfRule>
  </conditionalFormatting>
  <conditionalFormatting sqref="Y15:Y49">
    <cfRule type="cellIs" dxfId="27" priority="21" operator="lessThan">
      <formula>10</formula>
    </cfRule>
    <cfRule type="cellIs" dxfId="26" priority="22" operator="greaterThan">
      <formula>9</formula>
    </cfRule>
  </conditionalFormatting>
  <conditionalFormatting sqref="Z15:Z49">
    <cfRule type="cellIs" dxfId="25" priority="15" operator="lessThan">
      <formula>10</formula>
    </cfRule>
    <cfRule type="cellIs" dxfId="24" priority="16" operator="greaterThan">
      <formula>9</formula>
    </cfRule>
  </conditionalFormatting>
  <conditionalFormatting sqref="J46:J49">
    <cfRule type="cellIs" dxfId="23" priority="1" operator="lessThan">
      <formula>10</formula>
    </cfRule>
    <cfRule type="cellIs" dxfId="22" priority="2" operator="greaterThan">
      <formula>9</formula>
    </cfRule>
  </conditionalFormatting>
  <printOptions horizontalCentered="1" verticalCentered="1"/>
  <pageMargins left="3.937007874015748E-2" right="7.874015748031496E-2" top="0.51181102362204722" bottom="0.78740157480314965" header="0.31496062992125984" footer="0.31496062992125984"/>
  <pageSetup paperSize="8" scale="9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60"/>
  <sheetViews>
    <sheetView topLeftCell="A12" zoomScaleNormal="100" workbookViewId="0">
      <pane xSplit="3" ySplit="3" topLeftCell="D15" activePane="bottomRight" state="frozen"/>
      <selection activeCell="A12" sqref="A12"/>
      <selection pane="topRight" activeCell="D12" sqref="D12"/>
      <selection pane="bottomLeft" activeCell="A15" sqref="A15"/>
      <selection pane="bottomRight" activeCell="AK13" sqref="AK13:AK14"/>
    </sheetView>
  </sheetViews>
  <sheetFormatPr defaultRowHeight="15" x14ac:dyDescent="0.25"/>
  <cols>
    <col min="1" max="1" width="6.85546875" customWidth="1"/>
    <col min="2" max="2" width="6.28515625" customWidth="1"/>
    <col min="3" max="3" width="37.5703125" customWidth="1"/>
    <col min="4" max="4" width="3.85546875" customWidth="1"/>
    <col min="5" max="5" width="3.5703125" customWidth="1"/>
    <col min="6" max="20" width="3.7109375" customWidth="1"/>
    <col min="21" max="21" width="3.42578125" customWidth="1"/>
    <col min="22" max="22" width="3.5703125" customWidth="1"/>
    <col min="23" max="23" width="3.42578125" customWidth="1"/>
    <col min="24" max="26" width="3.7109375" customWidth="1"/>
    <col min="27" max="27" width="3.42578125" customWidth="1"/>
    <col min="28" max="28" width="3.5703125" customWidth="1"/>
    <col min="29" max="29" width="4.140625" customWidth="1"/>
    <col min="30" max="30" width="3.28515625" customWidth="1"/>
    <col min="31" max="32" width="3.42578125" customWidth="1"/>
    <col min="33" max="33" width="4.42578125" customWidth="1"/>
    <col min="34" max="34" width="4" customWidth="1"/>
    <col min="35" max="35" width="4.5703125" customWidth="1"/>
    <col min="36" max="36" width="15.5703125" customWidth="1"/>
    <col min="37" max="37" width="12.5703125" customWidth="1"/>
  </cols>
  <sheetData>
    <row r="5" spans="1:37" ht="18" customHeight="1" x14ac:dyDescent="0.3">
      <c r="A5" s="14"/>
      <c r="B5" s="13" t="s">
        <v>16</v>
      </c>
      <c r="C5" s="19"/>
      <c r="D5" s="16" t="s">
        <v>102</v>
      </c>
      <c r="K5" s="16"/>
    </row>
    <row r="6" spans="1:37" ht="18.75" x14ac:dyDescent="0.3">
      <c r="A6" s="13" t="s">
        <v>33</v>
      </c>
      <c r="C6" s="13"/>
      <c r="D6" s="15" t="s">
        <v>103</v>
      </c>
      <c r="K6" s="15"/>
    </row>
    <row r="7" spans="1:37" ht="18.75" x14ac:dyDescent="0.3">
      <c r="A7" s="13" t="s">
        <v>34</v>
      </c>
      <c r="F7" s="15" t="s">
        <v>104</v>
      </c>
      <c r="O7" s="15"/>
    </row>
    <row r="8" spans="1:37" ht="17.25" x14ac:dyDescent="0.3">
      <c r="A8" s="13" t="s">
        <v>35</v>
      </c>
    </row>
    <row r="9" spans="1:37" ht="20.25" x14ac:dyDescent="0.3">
      <c r="D9" s="40" t="s">
        <v>64</v>
      </c>
    </row>
    <row r="10" spans="1:37" ht="17.25" x14ac:dyDescent="0.3">
      <c r="A10" s="13" t="s">
        <v>12</v>
      </c>
      <c r="C10" s="13" t="s">
        <v>65</v>
      </c>
      <c r="K10" s="13"/>
      <c r="AB10" s="13" t="s">
        <v>61</v>
      </c>
    </row>
    <row r="11" spans="1:37" ht="15.75" thickBot="1" x14ac:dyDescent="0.3"/>
    <row r="12" spans="1:37" ht="15.75" customHeight="1" thickBot="1" x14ac:dyDescent="0.3">
      <c r="E12" s="90" t="s">
        <v>17</v>
      </c>
      <c r="F12" s="72" t="s">
        <v>18</v>
      </c>
      <c r="G12" s="72" t="s">
        <v>19</v>
      </c>
      <c r="H12" s="72" t="s">
        <v>20</v>
      </c>
      <c r="I12" s="72" t="s">
        <v>25</v>
      </c>
      <c r="J12" s="72" t="s">
        <v>26</v>
      </c>
      <c r="K12" s="72" t="s">
        <v>21</v>
      </c>
      <c r="L12" s="72" t="s">
        <v>54</v>
      </c>
      <c r="M12" s="72" t="s">
        <v>27</v>
      </c>
      <c r="N12" s="72" t="s">
        <v>28</v>
      </c>
      <c r="O12" s="72" t="s">
        <v>22</v>
      </c>
      <c r="P12" s="72" t="s">
        <v>55</v>
      </c>
      <c r="Q12" s="72" t="s">
        <v>56</v>
      </c>
      <c r="R12" s="72" t="s">
        <v>57</v>
      </c>
      <c r="S12" s="72" t="s">
        <v>58</v>
      </c>
      <c r="T12" s="84" t="s">
        <v>59</v>
      </c>
      <c r="U12" s="67" t="s">
        <v>48</v>
      </c>
      <c r="V12" s="68"/>
      <c r="W12" s="68"/>
      <c r="X12" s="68"/>
      <c r="Y12" s="68"/>
      <c r="Z12" s="68"/>
      <c r="AA12" s="68"/>
      <c r="AB12" s="68"/>
      <c r="AC12" s="69"/>
      <c r="AD12" s="67" t="s">
        <v>29</v>
      </c>
      <c r="AE12" s="68"/>
      <c r="AF12" s="69"/>
      <c r="AG12" s="57" t="s">
        <v>32</v>
      </c>
      <c r="AH12" s="54" t="s">
        <v>49</v>
      </c>
      <c r="AI12" s="54" t="s">
        <v>43</v>
      </c>
    </row>
    <row r="13" spans="1:37" ht="15" customHeight="1" x14ac:dyDescent="0.25">
      <c r="A13" s="42" t="s">
        <v>4</v>
      </c>
      <c r="B13" s="42" t="s">
        <v>3</v>
      </c>
      <c r="C13" s="3"/>
      <c r="D13" s="87" t="s">
        <v>0</v>
      </c>
      <c r="E13" s="91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85"/>
      <c r="U13" s="63" t="s">
        <v>7</v>
      </c>
      <c r="V13" s="64"/>
      <c r="W13" s="89" t="s">
        <v>30</v>
      </c>
      <c r="X13" s="70" t="s">
        <v>44</v>
      </c>
      <c r="Y13" s="70" t="s">
        <v>45</v>
      </c>
      <c r="Z13" s="70" t="s">
        <v>46</v>
      </c>
      <c r="AA13" s="70" t="s">
        <v>47</v>
      </c>
      <c r="AB13" s="70" t="s">
        <v>31</v>
      </c>
      <c r="AC13" s="65" t="s">
        <v>24</v>
      </c>
      <c r="AD13" s="63" t="s">
        <v>7</v>
      </c>
      <c r="AE13" s="64"/>
      <c r="AF13" s="65" t="s">
        <v>24</v>
      </c>
      <c r="AG13" s="58"/>
      <c r="AH13" s="55"/>
      <c r="AI13" s="55"/>
      <c r="AJ13" s="77" t="s">
        <v>11</v>
      </c>
      <c r="AK13" s="77" t="s">
        <v>2</v>
      </c>
    </row>
    <row r="14" spans="1:37" ht="76.5" customHeight="1" x14ac:dyDescent="0.25">
      <c r="A14" s="50" t="s">
        <v>5</v>
      </c>
      <c r="B14" s="49" t="s">
        <v>6</v>
      </c>
      <c r="C14" s="17" t="s">
        <v>42</v>
      </c>
      <c r="D14" s="88"/>
      <c r="E14" s="92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86"/>
      <c r="U14" s="47" t="s">
        <v>8</v>
      </c>
      <c r="V14" s="48" t="s">
        <v>9</v>
      </c>
      <c r="W14" s="70"/>
      <c r="X14" s="71"/>
      <c r="Y14" s="71"/>
      <c r="Z14" s="71"/>
      <c r="AA14" s="71"/>
      <c r="AB14" s="71"/>
      <c r="AC14" s="66"/>
      <c r="AD14" s="47" t="s">
        <v>8</v>
      </c>
      <c r="AE14" s="48" t="s">
        <v>9</v>
      </c>
      <c r="AF14" s="66"/>
      <c r="AG14" s="59"/>
      <c r="AH14" s="56"/>
      <c r="AI14" s="56"/>
      <c r="AJ14" s="78"/>
      <c r="AK14" s="78"/>
    </row>
    <row r="15" spans="1:37" ht="16.5" customHeight="1" x14ac:dyDescent="0.3">
      <c r="A15" s="18">
        <v>1</v>
      </c>
      <c r="B15" s="52">
        <v>7454</v>
      </c>
      <c r="C15" s="52" t="s">
        <v>105</v>
      </c>
      <c r="D15" s="51" t="s">
        <v>1</v>
      </c>
      <c r="E15" s="24">
        <v>11</v>
      </c>
      <c r="F15" s="24">
        <v>12</v>
      </c>
      <c r="G15" s="24">
        <v>11</v>
      </c>
      <c r="H15" s="24">
        <v>12</v>
      </c>
      <c r="I15" s="24">
        <v>10</v>
      </c>
      <c r="J15" s="24">
        <v>10</v>
      </c>
      <c r="K15" s="24">
        <v>10</v>
      </c>
      <c r="L15" s="24">
        <v>10</v>
      </c>
      <c r="M15" s="24">
        <v>10</v>
      </c>
      <c r="N15" s="24">
        <v>12</v>
      </c>
      <c r="O15" s="24">
        <v>10</v>
      </c>
      <c r="P15" s="21">
        <v>11</v>
      </c>
      <c r="Q15" s="21">
        <v>12</v>
      </c>
      <c r="R15" s="21">
        <v>11</v>
      </c>
      <c r="S15" s="32">
        <v>12</v>
      </c>
      <c r="T15" s="34">
        <v>10</v>
      </c>
      <c r="U15" s="23"/>
      <c r="V15" s="24"/>
      <c r="W15" s="24">
        <v>10</v>
      </c>
      <c r="X15" s="24"/>
      <c r="Y15" s="20"/>
      <c r="Z15" s="20"/>
      <c r="AA15" s="24">
        <f>ROUND((Y15+Z15)/2,0)</f>
        <v>0</v>
      </c>
      <c r="AB15" s="20">
        <f>ROUND((X15+AA15)/2,0)</f>
        <v>0</v>
      </c>
      <c r="AC15" s="34">
        <f>ROUND((W15+AB15)/2,0)</f>
        <v>5</v>
      </c>
      <c r="AD15" s="32"/>
      <c r="AE15" s="21"/>
      <c r="AF15" s="34"/>
      <c r="AG15" s="32"/>
      <c r="AH15" s="10">
        <f>ROUND((E15+F15+G15+H15+I15+J15+K15+L15+M15+N15+O15+P15+Q15+R15+S15+T15+AC15)/17,0)</f>
        <v>11</v>
      </c>
      <c r="AI15" s="41">
        <f>ROUND((4*AH15+AF15+AG15)/6,0)</f>
        <v>7</v>
      </c>
      <c r="AJ15" s="10"/>
      <c r="AK15" s="10" t="s">
        <v>37</v>
      </c>
    </row>
    <row r="16" spans="1:37" ht="16.5" x14ac:dyDescent="0.3">
      <c r="A16" s="18">
        <v>2</v>
      </c>
      <c r="B16" s="52">
        <v>7392</v>
      </c>
      <c r="C16" s="52" t="s">
        <v>106</v>
      </c>
      <c r="D16" s="51" t="s">
        <v>1</v>
      </c>
      <c r="E16" s="24">
        <v>13</v>
      </c>
      <c r="F16" s="24">
        <v>13</v>
      </c>
      <c r="G16" s="24">
        <v>12</v>
      </c>
      <c r="H16" s="24">
        <v>13</v>
      </c>
      <c r="I16" s="24">
        <v>12</v>
      </c>
      <c r="J16" s="24">
        <v>10</v>
      </c>
      <c r="K16" s="24">
        <v>11</v>
      </c>
      <c r="L16" s="24">
        <v>11</v>
      </c>
      <c r="M16" s="24">
        <v>11</v>
      </c>
      <c r="N16" s="24">
        <v>14</v>
      </c>
      <c r="O16" s="24">
        <v>13</v>
      </c>
      <c r="P16" s="24">
        <v>11</v>
      </c>
      <c r="Q16" s="24">
        <v>15</v>
      </c>
      <c r="R16" s="24">
        <v>14</v>
      </c>
      <c r="S16" s="24">
        <v>11</v>
      </c>
      <c r="T16" s="24">
        <v>12</v>
      </c>
      <c r="U16" s="23"/>
      <c r="V16" s="22"/>
      <c r="W16" s="24">
        <v>14</v>
      </c>
      <c r="X16" s="24"/>
      <c r="Y16" s="20"/>
      <c r="Z16" s="20"/>
      <c r="AA16" s="24">
        <f t="shared" ref="AA16:AA28" si="0">ROUND((Y16+Z16)/2,0)</f>
        <v>0</v>
      </c>
      <c r="AB16" s="20">
        <f t="shared" ref="AB16:AB28" si="1">ROUND((X16+AA16)/2,0)</f>
        <v>0</v>
      </c>
      <c r="AC16" s="34">
        <f t="shared" ref="AC16:AC28" si="2">ROUND((W16+AB16)/2,0)</f>
        <v>7</v>
      </c>
      <c r="AD16" s="32"/>
      <c r="AE16" s="21"/>
      <c r="AF16" s="34"/>
      <c r="AG16" s="32"/>
      <c r="AH16" s="10">
        <f t="shared" ref="AH16:AH28" si="3">ROUND((E16+F16+G16+H16+I16+J16+K16+L16+M16+N16+O16+P16+Q16+R16+S16+T16+AC16)/17,0)</f>
        <v>12</v>
      </c>
      <c r="AI16" s="41">
        <f t="shared" ref="AI16:AI28" si="4">ROUND((4*AH16+AF16+AG16)/6,0)</f>
        <v>8</v>
      </c>
      <c r="AJ16" s="10"/>
      <c r="AK16" s="10" t="s">
        <v>37</v>
      </c>
    </row>
    <row r="17" spans="1:37" ht="16.5" x14ac:dyDescent="0.3">
      <c r="A17" s="18">
        <v>3</v>
      </c>
      <c r="B17" s="52">
        <v>8081</v>
      </c>
      <c r="C17" s="52" t="s">
        <v>107</v>
      </c>
      <c r="D17" s="51" t="s">
        <v>1</v>
      </c>
      <c r="E17" s="22">
        <v>11</v>
      </c>
      <c r="F17" s="22">
        <v>11</v>
      </c>
      <c r="G17" s="22">
        <v>11</v>
      </c>
      <c r="H17" s="22">
        <v>10</v>
      </c>
      <c r="I17" s="22">
        <v>10</v>
      </c>
      <c r="J17" s="22">
        <v>10</v>
      </c>
      <c r="K17" s="22">
        <v>11</v>
      </c>
      <c r="L17" s="22">
        <v>10</v>
      </c>
      <c r="M17" s="22">
        <v>10</v>
      </c>
      <c r="N17" s="22">
        <v>11</v>
      </c>
      <c r="O17" s="22">
        <v>11</v>
      </c>
      <c r="P17" s="21">
        <v>11</v>
      </c>
      <c r="Q17" s="21">
        <v>11</v>
      </c>
      <c r="R17" s="21">
        <v>11</v>
      </c>
      <c r="S17" s="33">
        <v>11</v>
      </c>
      <c r="T17" s="25">
        <v>10</v>
      </c>
      <c r="U17" s="23"/>
      <c r="V17" s="22"/>
      <c r="W17" s="24">
        <v>11</v>
      </c>
      <c r="X17" s="24"/>
      <c r="Y17" s="20"/>
      <c r="Z17" s="20"/>
      <c r="AA17" s="24">
        <f t="shared" si="0"/>
        <v>0</v>
      </c>
      <c r="AB17" s="20">
        <f t="shared" si="1"/>
        <v>0</v>
      </c>
      <c r="AC17" s="34">
        <f t="shared" si="2"/>
        <v>6</v>
      </c>
      <c r="AD17" s="32"/>
      <c r="AE17" s="21"/>
      <c r="AF17" s="34"/>
      <c r="AG17" s="32"/>
      <c r="AH17" s="10">
        <f t="shared" si="3"/>
        <v>10</v>
      </c>
      <c r="AI17" s="41">
        <f t="shared" si="4"/>
        <v>7</v>
      </c>
      <c r="AJ17" s="10"/>
      <c r="AK17" s="10" t="s">
        <v>37</v>
      </c>
    </row>
    <row r="18" spans="1:37" ht="16.5" x14ac:dyDescent="0.3">
      <c r="A18" s="18">
        <v>4</v>
      </c>
      <c r="B18" s="52">
        <v>8673</v>
      </c>
      <c r="C18" s="52" t="s">
        <v>108</v>
      </c>
      <c r="D18" s="51" t="s">
        <v>1</v>
      </c>
      <c r="E18" s="22">
        <v>11</v>
      </c>
      <c r="F18" s="22">
        <v>12</v>
      </c>
      <c r="G18" s="22">
        <v>11</v>
      </c>
      <c r="H18" s="22">
        <v>13</v>
      </c>
      <c r="I18" s="22">
        <v>11</v>
      </c>
      <c r="J18" s="22">
        <v>10</v>
      </c>
      <c r="K18" s="22">
        <v>13</v>
      </c>
      <c r="L18" s="22">
        <v>13</v>
      </c>
      <c r="M18" s="22">
        <v>10</v>
      </c>
      <c r="N18" s="22">
        <v>11</v>
      </c>
      <c r="O18" s="22">
        <v>11</v>
      </c>
      <c r="P18" s="21">
        <v>10</v>
      </c>
      <c r="Q18" s="21">
        <v>14</v>
      </c>
      <c r="R18" s="21">
        <v>12</v>
      </c>
      <c r="S18" s="33">
        <v>12</v>
      </c>
      <c r="T18" s="25">
        <v>11</v>
      </c>
      <c r="U18" s="23"/>
      <c r="V18" s="22"/>
      <c r="W18" s="24">
        <v>12</v>
      </c>
      <c r="X18" s="24"/>
      <c r="Y18" s="20"/>
      <c r="Z18" s="20"/>
      <c r="AA18" s="24">
        <f t="shared" si="0"/>
        <v>0</v>
      </c>
      <c r="AB18" s="20">
        <f t="shared" si="1"/>
        <v>0</v>
      </c>
      <c r="AC18" s="34">
        <f t="shared" si="2"/>
        <v>6</v>
      </c>
      <c r="AD18" s="32"/>
      <c r="AE18" s="21"/>
      <c r="AF18" s="34"/>
      <c r="AG18" s="32"/>
      <c r="AH18" s="10">
        <f t="shared" si="3"/>
        <v>11</v>
      </c>
      <c r="AI18" s="41">
        <f t="shared" si="4"/>
        <v>7</v>
      </c>
      <c r="AJ18" s="36"/>
      <c r="AK18" s="10" t="s">
        <v>37</v>
      </c>
    </row>
    <row r="19" spans="1:37" ht="16.5" x14ac:dyDescent="0.3">
      <c r="A19" s="18">
        <v>5</v>
      </c>
      <c r="B19" s="52">
        <v>8675</v>
      </c>
      <c r="C19" s="52" t="s">
        <v>109</v>
      </c>
      <c r="D19" s="51" t="s">
        <v>1</v>
      </c>
      <c r="E19" s="22">
        <v>12</v>
      </c>
      <c r="F19" s="22">
        <v>12</v>
      </c>
      <c r="G19" s="22">
        <v>12</v>
      </c>
      <c r="H19" s="22">
        <v>14</v>
      </c>
      <c r="I19" s="22">
        <v>11</v>
      </c>
      <c r="J19" s="22">
        <v>10</v>
      </c>
      <c r="K19" s="22">
        <v>12</v>
      </c>
      <c r="L19" s="22">
        <v>10</v>
      </c>
      <c r="M19" s="22">
        <v>10</v>
      </c>
      <c r="N19" s="22">
        <v>13</v>
      </c>
      <c r="O19" s="22">
        <v>10</v>
      </c>
      <c r="P19" s="21">
        <v>11</v>
      </c>
      <c r="Q19" s="21">
        <v>16</v>
      </c>
      <c r="R19" s="21">
        <v>12</v>
      </c>
      <c r="S19" s="33">
        <v>10</v>
      </c>
      <c r="T19" s="25">
        <v>11</v>
      </c>
      <c r="U19" s="23"/>
      <c r="V19" s="22"/>
      <c r="W19" s="24">
        <v>14</v>
      </c>
      <c r="X19" s="24"/>
      <c r="Y19" s="20"/>
      <c r="Z19" s="20"/>
      <c r="AA19" s="24">
        <f t="shared" si="0"/>
        <v>0</v>
      </c>
      <c r="AB19" s="20">
        <f t="shared" si="1"/>
        <v>0</v>
      </c>
      <c r="AC19" s="34">
        <f t="shared" si="2"/>
        <v>7</v>
      </c>
      <c r="AD19" s="32"/>
      <c r="AE19" s="21"/>
      <c r="AF19" s="34"/>
      <c r="AG19" s="32"/>
      <c r="AH19" s="10">
        <f t="shared" si="3"/>
        <v>11</v>
      </c>
      <c r="AI19" s="41">
        <f t="shared" si="4"/>
        <v>7</v>
      </c>
      <c r="AJ19" s="10"/>
      <c r="AK19" s="10" t="s">
        <v>37</v>
      </c>
    </row>
    <row r="20" spans="1:37" ht="15" customHeight="1" x14ac:dyDescent="0.3">
      <c r="A20" s="18">
        <v>6</v>
      </c>
      <c r="B20" s="52">
        <v>7896</v>
      </c>
      <c r="C20" s="52" t="s">
        <v>110</v>
      </c>
      <c r="D20" s="51" t="s">
        <v>1</v>
      </c>
      <c r="E20" s="22">
        <v>11</v>
      </c>
      <c r="F20" s="22">
        <v>12</v>
      </c>
      <c r="G20" s="22">
        <v>13</v>
      </c>
      <c r="H20" s="22">
        <v>13</v>
      </c>
      <c r="I20" s="22">
        <v>11</v>
      </c>
      <c r="J20" s="22">
        <v>10</v>
      </c>
      <c r="K20" s="22">
        <v>10</v>
      </c>
      <c r="L20" s="22">
        <v>12</v>
      </c>
      <c r="M20" s="22">
        <v>12</v>
      </c>
      <c r="N20" s="22">
        <v>12</v>
      </c>
      <c r="O20" s="22">
        <v>10</v>
      </c>
      <c r="P20" s="21">
        <v>10</v>
      </c>
      <c r="Q20" s="21">
        <v>15</v>
      </c>
      <c r="R20" s="21">
        <v>13</v>
      </c>
      <c r="S20" s="33">
        <v>11</v>
      </c>
      <c r="T20" s="25">
        <v>12</v>
      </c>
      <c r="U20" s="23"/>
      <c r="V20" s="22"/>
      <c r="W20" s="24">
        <v>11</v>
      </c>
      <c r="X20" s="24"/>
      <c r="Y20" s="20"/>
      <c r="Z20" s="20"/>
      <c r="AA20" s="24">
        <f t="shared" si="0"/>
        <v>0</v>
      </c>
      <c r="AB20" s="20">
        <f t="shared" si="1"/>
        <v>0</v>
      </c>
      <c r="AC20" s="34">
        <f t="shared" si="2"/>
        <v>6</v>
      </c>
      <c r="AD20" s="32"/>
      <c r="AE20" s="21"/>
      <c r="AF20" s="34"/>
      <c r="AG20" s="32"/>
      <c r="AH20" s="10">
        <f t="shared" si="3"/>
        <v>11</v>
      </c>
      <c r="AI20" s="41">
        <f t="shared" si="4"/>
        <v>7</v>
      </c>
      <c r="AJ20" s="10"/>
      <c r="AK20" s="10" t="s">
        <v>37</v>
      </c>
    </row>
    <row r="21" spans="1:37" ht="16.5" x14ac:dyDescent="0.3">
      <c r="A21" s="18">
        <v>7</v>
      </c>
      <c r="B21" s="52">
        <v>7472</v>
      </c>
      <c r="C21" s="52" t="s">
        <v>111</v>
      </c>
      <c r="D21" s="51" t="s">
        <v>1</v>
      </c>
      <c r="E21" s="22">
        <v>11</v>
      </c>
      <c r="F21" s="22">
        <v>10</v>
      </c>
      <c r="G21" s="22">
        <v>10</v>
      </c>
      <c r="H21" s="22">
        <v>12</v>
      </c>
      <c r="I21" s="22">
        <v>12</v>
      </c>
      <c r="J21" s="22">
        <v>10</v>
      </c>
      <c r="K21" s="22">
        <v>10</v>
      </c>
      <c r="L21" s="22">
        <v>10</v>
      </c>
      <c r="M21" s="22">
        <v>10</v>
      </c>
      <c r="N21" s="22">
        <v>13</v>
      </c>
      <c r="O21" s="22">
        <v>10</v>
      </c>
      <c r="P21" s="21">
        <v>10</v>
      </c>
      <c r="Q21" s="21">
        <v>14</v>
      </c>
      <c r="R21" s="21">
        <v>11</v>
      </c>
      <c r="S21" s="33">
        <v>10</v>
      </c>
      <c r="T21" s="25">
        <v>10</v>
      </c>
      <c r="U21" s="23"/>
      <c r="V21" s="22"/>
      <c r="W21" s="24">
        <v>8</v>
      </c>
      <c r="X21" s="24"/>
      <c r="Y21" s="20"/>
      <c r="Z21" s="20"/>
      <c r="AA21" s="24">
        <f t="shared" si="0"/>
        <v>0</v>
      </c>
      <c r="AB21" s="20">
        <f t="shared" si="1"/>
        <v>0</v>
      </c>
      <c r="AC21" s="34">
        <f t="shared" si="2"/>
        <v>4</v>
      </c>
      <c r="AD21" s="32"/>
      <c r="AE21" s="21"/>
      <c r="AF21" s="34"/>
      <c r="AG21" s="32"/>
      <c r="AH21" s="10">
        <f t="shared" si="3"/>
        <v>10</v>
      </c>
      <c r="AI21" s="41">
        <f t="shared" si="4"/>
        <v>7</v>
      </c>
      <c r="AJ21" s="10"/>
      <c r="AK21" s="10" t="s">
        <v>38</v>
      </c>
    </row>
    <row r="22" spans="1:37" ht="16.5" x14ac:dyDescent="0.3">
      <c r="A22" s="18">
        <v>8</v>
      </c>
      <c r="B22" s="52">
        <v>7224</v>
      </c>
      <c r="C22" s="52" t="s">
        <v>112</v>
      </c>
      <c r="D22" s="51" t="s">
        <v>1</v>
      </c>
      <c r="E22" s="22">
        <v>15</v>
      </c>
      <c r="F22" s="22">
        <v>16</v>
      </c>
      <c r="G22" s="22">
        <v>14</v>
      </c>
      <c r="H22" s="22">
        <v>13</v>
      </c>
      <c r="I22" s="22">
        <v>14</v>
      </c>
      <c r="J22" s="22">
        <v>13</v>
      </c>
      <c r="K22" s="22">
        <v>14</v>
      </c>
      <c r="L22" s="22">
        <v>12</v>
      </c>
      <c r="M22" s="22">
        <v>14</v>
      </c>
      <c r="N22" s="22">
        <v>14</v>
      </c>
      <c r="O22" s="22">
        <v>14</v>
      </c>
      <c r="P22" s="21">
        <v>13</v>
      </c>
      <c r="Q22" s="21">
        <v>17</v>
      </c>
      <c r="R22" s="21">
        <v>14</v>
      </c>
      <c r="S22" s="33">
        <v>11</v>
      </c>
      <c r="T22" s="25">
        <v>12</v>
      </c>
      <c r="U22" s="23"/>
      <c r="V22" s="22"/>
      <c r="W22" s="24">
        <v>15</v>
      </c>
      <c r="X22" s="24"/>
      <c r="Y22" s="20"/>
      <c r="Z22" s="20"/>
      <c r="AA22" s="24">
        <f t="shared" si="0"/>
        <v>0</v>
      </c>
      <c r="AB22" s="20">
        <f t="shared" si="1"/>
        <v>0</v>
      </c>
      <c r="AC22" s="34">
        <f t="shared" si="2"/>
        <v>8</v>
      </c>
      <c r="AD22" s="32"/>
      <c r="AE22" s="21"/>
      <c r="AF22" s="34"/>
      <c r="AG22" s="32"/>
      <c r="AH22" s="10">
        <f t="shared" si="3"/>
        <v>13</v>
      </c>
      <c r="AI22" s="41">
        <f t="shared" si="4"/>
        <v>9</v>
      </c>
      <c r="AJ22" s="10"/>
      <c r="AK22" s="10" t="s">
        <v>37</v>
      </c>
    </row>
    <row r="23" spans="1:37" ht="15.75" customHeight="1" x14ac:dyDescent="0.3">
      <c r="A23" s="18">
        <v>9</v>
      </c>
      <c r="B23" s="52">
        <v>7463</v>
      </c>
      <c r="C23" s="52" t="s">
        <v>113</v>
      </c>
      <c r="D23" s="51" t="s">
        <v>1</v>
      </c>
      <c r="E23" s="22">
        <v>15</v>
      </c>
      <c r="F23" s="22">
        <v>14</v>
      </c>
      <c r="G23" s="22">
        <v>13</v>
      </c>
      <c r="H23" s="22">
        <v>12</v>
      </c>
      <c r="I23" s="22">
        <v>14</v>
      </c>
      <c r="J23" s="22">
        <v>12</v>
      </c>
      <c r="K23" s="22">
        <v>13</v>
      </c>
      <c r="L23" s="22">
        <v>12</v>
      </c>
      <c r="M23" s="22">
        <v>12</v>
      </c>
      <c r="N23" s="22">
        <v>14</v>
      </c>
      <c r="O23" s="22">
        <v>13</v>
      </c>
      <c r="P23" s="21">
        <v>16</v>
      </c>
      <c r="Q23" s="21">
        <v>16</v>
      </c>
      <c r="R23" s="21">
        <v>14</v>
      </c>
      <c r="S23" s="33">
        <v>13</v>
      </c>
      <c r="T23" s="25">
        <v>12</v>
      </c>
      <c r="U23" s="23"/>
      <c r="V23" s="22"/>
      <c r="W23" s="24">
        <v>13</v>
      </c>
      <c r="X23" s="24"/>
      <c r="Y23" s="20"/>
      <c r="Z23" s="20"/>
      <c r="AA23" s="24">
        <f t="shared" si="0"/>
        <v>0</v>
      </c>
      <c r="AB23" s="20">
        <f t="shared" si="1"/>
        <v>0</v>
      </c>
      <c r="AC23" s="34">
        <f>ROUND((W23+AB23)/2,0)</f>
        <v>7</v>
      </c>
      <c r="AD23" s="32"/>
      <c r="AE23" s="21"/>
      <c r="AF23" s="34"/>
      <c r="AG23" s="32"/>
      <c r="AH23" s="10">
        <f t="shared" si="3"/>
        <v>13</v>
      </c>
      <c r="AI23" s="41">
        <f t="shared" si="4"/>
        <v>9</v>
      </c>
      <c r="AJ23" s="36"/>
      <c r="AK23" s="10" t="s">
        <v>37</v>
      </c>
    </row>
    <row r="24" spans="1:37" ht="16.5" x14ac:dyDescent="0.3">
      <c r="A24" s="18">
        <v>10</v>
      </c>
      <c r="B24" s="52">
        <v>8672</v>
      </c>
      <c r="C24" s="52" t="s">
        <v>114</v>
      </c>
      <c r="D24" s="51" t="s">
        <v>101</v>
      </c>
      <c r="E24" s="22">
        <v>13</v>
      </c>
      <c r="F24" s="22">
        <v>15</v>
      </c>
      <c r="G24" s="22">
        <v>13</v>
      </c>
      <c r="H24" s="22">
        <v>13</v>
      </c>
      <c r="I24" s="22">
        <v>12</v>
      </c>
      <c r="J24" s="22">
        <v>10</v>
      </c>
      <c r="K24" s="22">
        <v>10</v>
      </c>
      <c r="L24" s="22">
        <v>13</v>
      </c>
      <c r="M24" s="22">
        <v>12</v>
      </c>
      <c r="N24" s="22">
        <v>12</v>
      </c>
      <c r="O24" s="22">
        <v>10</v>
      </c>
      <c r="P24" s="21">
        <v>11</v>
      </c>
      <c r="Q24" s="21">
        <v>15</v>
      </c>
      <c r="R24" s="21">
        <v>12</v>
      </c>
      <c r="S24" s="33">
        <v>14</v>
      </c>
      <c r="T24" s="25">
        <v>11</v>
      </c>
      <c r="U24" s="23"/>
      <c r="V24" s="22"/>
      <c r="W24" s="24">
        <v>12</v>
      </c>
      <c r="X24" s="24"/>
      <c r="Y24" s="20"/>
      <c r="Z24" s="20"/>
      <c r="AA24" s="24">
        <f t="shared" si="0"/>
        <v>0</v>
      </c>
      <c r="AB24" s="20">
        <f t="shared" si="1"/>
        <v>0</v>
      </c>
      <c r="AC24" s="34">
        <f t="shared" si="2"/>
        <v>6</v>
      </c>
      <c r="AD24" s="32"/>
      <c r="AE24" s="21"/>
      <c r="AF24" s="34"/>
      <c r="AG24" s="32"/>
      <c r="AH24" s="10">
        <f t="shared" si="3"/>
        <v>12</v>
      </c>
      <c r="AI24" s="41">
        <f t="shared" si="4"/>
        <v>8</v>
      </c>
      <c r="AJ24" s="10"/>
      <c r="AK24" s="10" t="s">
        <v>37</v>
      </c>
    </row>
    <row r="25" spans="1:37" ht="16.5" x14ac:dyDescent="0.3">
      <c r="A25" s="18">
        <v>11</v>
      </c>
      <c r="B25" s="52">
        <v>8643</v>
      </c>
      <c r="C25" s="52" t="s">
        <v>115</v>
      </c>
      <c r="D25" s="51" t="s">
        <v>1</v>
      </c>
      <c r="E25" s="22">
        <v>11</v>
      </c>
      <c r="F25" s="22">
        <v>10</v>
      </c>
      <c r="G25" s="22">
        <v>13</v>
      </c>
      <c r="H25" s="22">
        <v>14</v>
      </c>
      <c r="I25" s="22">
        <v>10</v>
      </c>
      <c r="J25" s="22">
        <v>10</v>
      </c>
      <c r="K25" s="22">
        <v>10</v>
      </c>
      <c r="L25" s="22">
        <v>11</v>
      </c>
      <c r="M25" s="22">
        <v>11</v>
      </c>
      <c r="N25" s="22">
        <v>12</v>
      </c>
      <c r="O25" s="22">
        <v>11</v>
      </c>
      <c r="P25" s="21">
        <v>12</v>
      </c>
      <c r="Q25" s="21">
        <v>16</v>
      </c>
      <c r="R25" s="21">
        <v>10</v>
      </c>
      <c r="S25" s="33">
        <v>11</v>
      </c>
      <c r="T25" s="25">
        <v>10</v>
      </c>
      <c r="U25" s="23"/>
      <c r="V25" s="22"/>
      <c r="W25" s="24">
        <v>11</v>
      </c>
      <c r="X25" s="24"/>
      <c r="Y25" s="20"/>
      <c r="Z25" s="20"/>
      <c r="AA25" s="24">
        <f t="shared" si="0"/>
        <v>0</v>
      </c>
      <c r="AB25" s="20">
        <f t="shared" si="1"/>
        <v>0</v>
      </c>
      <c r="AC25" s="34">
        <f t="shared" si="2"/>
        <v>6</v>
      </c>
      <c r="AD25" s="32"/>
      <c r="AE25" s="21"/>
      <c r="AF25" s="34"/>
      <c r="AG25" s="32"/>
      <c r="AH25" s="10">
        <f t="shared" si="3"/>
        <v>11</v>
      </c>
      <c r="AI25" s="41">
        <f t="shared" si="4"/>
        <v>7</v>
      </c>
      <c r="AJ25" s="10"/>
      <c r="AK25" s="10" t="s">
        <v>38</v>
      </c>
    </row>
    <row r="26" spans="1:37" ht="16.5" x14ac:dyDescent="0.3">
      <c r="A26" s="18">
        <v>12</v>
      </c>
      <c r="B26" s="52">
        <v>7323</v>
      </c>
      <c r="C26" s="52" t="s">
        <v>116</v>
      </c>
      <c r="D26" s="51" t="s">
        <v>1</v>
      </c>
      <c r="E26" s="22">
        <v>11</v>
      </c>
      <c r="F26" s="22">
        <v>10</v>
      </c>
      <c r="G26" s="22">
        <v>11</v>
      </c>
      <c r="H26" s="22">
        <v>12</v>
      </c>
      <c r="I26" s="22">
        <v>11</v>
      </c>
      <c r="J26" s="22">
        <v>10</v>
      </c>
      <c r="K26" s="22">
        <v>10</v>
      </c>
      <c r="L26" s="22">
        <v>10</v>
      </c>
      <c r="M26" s="22">
        <v>10</v>
      </c>
      <c r="N26" s="22">
        <v>11</v>
      </c>
      <c r="O26" s="22">
        <v>11</v>
      </c>
      <c r="P26" s="21">
        <v>10</v>
      </c>
      <c r="Q26" s="21">
        <v>16</v>
      </c>
      <c r="R26" s="21">
        <v>10</v>
      </c>
      <c r="S26" s="33">
        <v>10</v>
      </c>
      <c r="T26" s="25">
        <v>10</v>
      </c>
      <c r="U26" s="23"/>
      <c r="V26" s="22"/>
      <c r="W26" s="24">
        <v>12</v>
      </c>
      <c r="X26" s="24"/>
      <c r="Y26" s="20"/>
      <c r="Z26" s="20"/>
      <c r="AA26" s="24">
        <f t="shared" si="0"/>
        <v>0</v>
      </c>
      <c r="AB26" s="20">
        <f t="shared" si="1"/>
        <v>0</v>
      </c>
      <c r="AC26" s="34">
        <f t="shared" si="2"/>
        <v>6</v>
      </c>
      <c r="AD26" s="32"/>
      <c r="AE26" s="21"/>
      <c r="AF26" s="34"/>
      <c r="AG26" s="32"/>
      <c r="AH26" s="10">
        <f t="shared" si="3"/>
        <v>11</v>
      </c>
      <c r="AI26" s="41">
        <f t="shared" si="4"/>
        <v>7</v>
      </c>
      <c r="AJ26" s="10"/>
      <c r="AK26" s="10" t="s">
        <v>37</v>
      </c>
    </row>
    <row r="27" spans="1:37" ht="19.5" customHeight="1" x14ac:dyDescent="0.3">
      <c r="A27" s="18">
        <v>13</v>
      </c>
      <c r="B27" s="52">
        <v>7471</v>
      </c>
      <c r="C27" s="52" t="s">
        <v>117</v>
      </c>
      <c r="D27" s="51" t="s">
        <v>1</v>
      </c>
      <c r="E27" s="22">
        <v>12</v>
      </c>
      <c r="F27" s="22">
        <v>10</v>
      </c>
      <c r="G27" s="22">
        <v>13</v>
      </c>
      <c r="H27" s="22">
        <v>13</v>
      </c>
      <c r="I27" s="22">
        <v>10</v>
      </c>
      <c r="J27" s="22">
        <v>10</v>
      </c>
      <c r="K27" s="22">
        <v>10</v>
      </c>
      <c r="L27" s="22">
        <v>10</v>
      </c>
      <c r="M27" s="22">
        <v>12</v>
      </c>
      <c r="N27" s="22">
        <v>14</v>
      </c>
      <c r="O27" s="22">
        <v>11</v>
      </c>
      <c r="P27" s="21">
        <v>12</v>
      </c>
      <c r="Q27" s="21">
        <v>16</v>
      </c>
      <c r="R27" s="21">
        <v>13</v>
      </c>
      <c r="S27" s="33">
        <v>11</v>
      </c>
      <c r="T27" s="25">
        <v>11</v>
      </c>
      <c r="U27" s="23"/>
      <c r="V27" s="22"/>
      <c r="W27" s="24">
        <v>13</v>
      </c>
      <c r="X27" s="24"/>
      <c r="Y27" s="20"/>
      <c r="Z27" s="20"/>
      <c r="AA27" s="24">
        <f t="shared" si="0"/>
        <v>0</v>
      </c>
      <c r="AB27" s="20">
        <f t="shared" si="1"/>
        <v>0</v>
      </c>
      <c r="AC27" s="34">
        <f t="shared" si="2"/>
        <v>7</v>
      </c>
      <c r="AD27" s="32"/>
      <c r="AE27" s="21"/>
      <c r="AF27" s="34"/>
      <c r="AG27" s="32"/>
      <c r="AH27" s="10">
        <f t="shared" si="3"/>
        <v>11</v>
      </c>
      <c r="AI27" s="41">
        <f t="shared" si="4"/>
        <v>7</v>
      </c>
      <c r="AJ27" s="10"/>
      <c r="AK27" s="10" t="s">
        <v>37</v>
      </c>
    </row>
    <row r="28" spans="1:37" ht="16.5" x14ac:dyDescent="0.3">
      <c r="A28" s="18">
        <v>14</v>
      </c>
      <c r="B28" s="52">
        <v>7457</v>
      </c>
      <c r="C28" s="52" t="s">
        <v>118</v>
      </c>
      <c r="D28" s="51" t="s">
        <v>1</v>
      </c>
      <c r="E28" s="22">
        <v>10</v>
      </c>
      <c r="F28" s="22">
        <v>12</v>
      </c>
      <c r="G28" s="22">
        <v>12</v>
      </c>
      <c r="H28" s="22">
        <v>13</v>
      </c>
      <c r="I28" s="22">
        <v>11</v>
      </c>
      <c r="J28" s="22">
        <v>10</v>
      </c>
      <c r="K28" s="22">
        <v>11</v>
      </c>
      <c r="L28" s="22">
        <v>11</v>
      </c>
      <c r="M28" s="22">
        <v>11</v>
      </c>
      <c r="N28" s="22">
        <v>13</v>
      </c>
      <c r="O28" s="22">
        <v>14</v>
      </c>
      <c r="P28" s="21">
        <v>13</v>
      </c>
      <c r="Q28" s="21">
        <v>16</v>
      </c>
      <c r="R28" s="21">
        <v>13</v>
      </c>
      <c r="S28" s="33">
        <v>12</v>
      </c>
      <c r="T28" s="25">
        <v>11</v>
      </c>
      <c r="U28" s="23"/>
      <c r="V28" s="22"/>
      <c r="W28" s="24">
        <v>14</v>
      </c>
      <c r="X28" s="24"/>
      <c r="Y28" s="20"/>
      <c r="Z28" s="20"/>
      <c r="AA28" s="24">
        <f t="shared" si="0"/>
        <v>0</v>
      </c>
      <c r="AB28" s="20">
        <f t="shared" si="1"/>
        <v>0</v>
      </c>
      <c r="AC28" s="34">
        <f t="shared" si="2"/>
        <v>7</v>
      </c>
      <c r="AD28" s="32"/>
      <c r="AE28" s="21"/>
      <c r="AF28" s="34"/>
      <c r="AG28" s="32"/>
      <c r="AH28" s="10">
        <f t="shared" si="3"/>
        <v>12</v>
      </c>
      <c r="AI28" s="41">
        <f t="shared" si="4"/>
        <v>8</v>
      </c>
      <c r="AJ28" s="10"/>
      <c r="AK28" s="10" t="s">
        <v>37</v>
      </c>
    </row>
    <row r="29" spans="1:37" ht="16.5" x14ac:dyDescent="0.3">
      <c r="A29" s="18">
        <v>15</v>
      </c>
      <c r="B29" s="52">
        <v>7232</v>
      </c>
      <c r="C29" s="52" t="s">
        <v>119</v>
      </c>
      <c r="D29" s="51" t="s">
        <v>1</v>
      </c>
      <c r="E29" s="22">
        <v>13</v>
      </c>
      <c r="F29" s="22">
        <v>17</v>
      </c>
      <c r="G29" s="22">
        <v>14</v>
      </c>
      <c r="H29" s="22">
        <v>12</v>
      </c>
      <c r="I29" s="22">
        <v>15</v>
      </c>
      <c r="J29" s="22">
        <v>14</v>
      </c>
      <c r="K29" s="22">
        <v>13</v>
      </c>
      <c r="L29" s="22">
        <v>11</v>
      </c>
      <c r="M29" s="22">
        <v>14</v>
      </c>
      <c r="N29" s="22">
        <v>16</v>
      </c>
      <c r="O29" s="22">
        <v>10</v>
      </c>
      <c r="P29" s="21">
        <v>15</v>
      </c>
      <c r="Q29" s="21">
        <v>18</v>
      </c>
      <c r="R29" s="21">
        <v>16</v>
      </c>
      <c r="S29" s="33">
        <v>13</v>
      </c>
      <c r="T29" s="25">
        <v>18</v>
      </c>
      <c r="U29" s="23"/>
      <c r="V29" s="22"/>
      <c r="W29" s="24">
        <v>16</v>
      </c>
      <c r="X29" s="24"/>
      <c r="Y29" s="20"/>
      <c r="Z29" s="20"/>
      <c r="AA29" s="24">
        <f t="shared" ref="AA29:AA45" si="5">ROUND((Y29+Z29)/2,0)</f>
        <v>0</v>
      </c>
      <c r="AB29" s="20">
        <f t="shared" ref="AB29:AB45" si="6">ROUND((X29+AA29)/2,0)</f>
        <v>0</v>
      </c>
      <c r="AC29" s="34">
        <f t="shared" ref="AC29:AC45" si="7">ROUND((W29+AB29)/2,0)</f>
        <v>8</v>
      </c>
      <c r="AD29" s="32"/>
      <c r="AE29" s="21"/>
      <c r="AF29" s="34"/>
      <c r="AG29" s="32"/>
      <c r="AH29" s="10">
        <f t="shared" ref="AH29:AH45" si="8">ROUND((E29+F29+G29+H29+I29+J29+K29+L29+M29+N29+O29+P29+Q29+R29+S29+T29+AC29)/17,0)</f>
        <v>14</v>
      </c>
      <c r="AI29" s="41">
        <f t="shared" ref="AI29:AI45" si="9">ROUND((4*AH29+AF29+AG29)/6,0)</f>
        <v>9</v>
      </c>
      <c r="AJ29" s="10"/>
      <c r="AK29" s="10"/>
    </row>
    <row r="30" spans="1:37" ht="16.5" x14ac:dyDescent="0.3">
      <c r="A30" s="18">
        <v>16</v>
      </c>
      <c r="B30" s="52">
        <v>7344</v>
      </c>
      <c r="C30" s="52" t="s">
        <v>120</v>
      </c>
      <c r="D30" s="51" t="s">
        <v>1</v>
      </c>
      <c r="E30" s="22">
        <v>11</v>
      </c>
      <c r="F30" s="22">
        <v>12</v>
      </c>
      <c r="G30" s="22">
        <v>11</v>
      </c>
      <c r="H30" s="22">
        <v>12</v>
      </c>
      <c r="I30" s="22">
        <v>10</v>
      </c>
      <c r="J30" s="22">
        <v>10</v>
      </c>
      <c r="K30" s="22">
        <v>10</v>
      </c>
      <c r="L30" s="22">
        <v>10</v>
      </c>
      <c r="M30" s="22">
        <v>10</v>
      </c>
      <c r="N30" s="22">
        <v>12</v>
      </c>
      <c r="O30" s="22">
        <v>10</v>
      </c>
      <c r="P30" s="21">
        <v>10</v>
      </c>
      <c r="Q30" s="21">
        <v>15</v>
      </c>
      <c r="R30" s="21">
        <v>10</v>
      </c>
      <c r="S30" s="33">
        <v>12</v>
      </c>
      <c r="T30" s="25">
        <v>10</v>
      </c>
      <c r="U30" s="23"/>
      <c r="V30" s="22"/>
      <c r="W30" s="24">
        <v>15</v>
      </c>
      <c r="X30" s="24"/>
      <c r="Y30" s="20"/>
      <c r="Z30" s="20"/>
      <c r="AA30" s="24">
        <f t="shared" si="5"/>
        <v>0</v>
      </c>
      <c r="AB30" s="20">
        <f t="shared" si="6"/>
        <v>0</v>
      </c>
      <c r="AC30" s="34">
        <f t="shared" si="7"/>
        <v>8</v>
      </c>
      <c r="AD30" s="32"/>
      <c r="AE30" s="21"/>
      <c r="AF30" s="34"/>
      <c r="AG30" s="32"/>
      <c r="AH30" s="10">
        <f t="shared" si="8"/>
        <v>11</v>
      </c>
      <c r="AI30" s="41">
        <f t="shared" si="9"/>
        <v>7</v>
      </c>
      <c r="AJ30" s="10"/>
      <c r="AK30" s="10"/>
    </row>
    <row r="31" spans="1:37" ht="16.5" x14ac:dyDescent="0.3">
      <c r="A31" s="18">
        <v>17</v>
      </c>
      <c r="B31" s="52">
        <v>7293</v>
      </c>
      <c r="C31" s="52" t="s">
        <v>121</v>
      </c>
      <c r="D31" s="51" t="s">
        <v>1</v>
      </c>
      <c r="E31" s="22">
        <v>11</v>
      </c>
      <c r="F31" s="22">
        <v>13</v>
      </c>
      <c r="G31" s="22">
        <v>12</v>
      </c>
      <c r="H31" s="22">
        <v>11</v>
      </c>
      <c r="I31" s="22">
        <v>11</v>
      </c>
      <c r="J31" s="22">
        <v>10</v>
      </c>
      <c r="K31" s="22">
        <v>10</v>
      </c>
      <c r="L31" s="22">
        <v>10</v>
      </c>
      <c r="M31" s="22">
        <v>11</v>
      </c>
      <c r="N31" s="22">
        <v>15</v>
      </c>
      <c r="O31" s="22">
        <v>11</v>
      </c>
      <c r="P31" s="21">
        <v>10</v>
      </c>
      <c r="Q31" s="21">
        <v>15</v>
      </c>
      <c r="R31" s="21">
        <v>12</v>
      </c>
      <c r="S31" s="33">
        <v>11</v>
      </c>
      <c r="T31" s="25">
        <v>15</v>
      </c>
      <c r="U31" s="23"/>
      <c r="V31" s="22"/>
      <c r="W31" s="24">
        <v>15</v>
      </c>
      <c r="X31" s="24"/>
      <c r="Y31" s="20"/>
      <c r="Z31" s="20"/>
      <c r="AA31" s="24">
        <f t="shared" si="5"/>
        <v>0</v>
      </c>
      <c r="AB31" s="20">
        <f t="shared" si="6"/>
        <v>0</v>
      </c>
      <c r="AC31" s="34">
        <f t="shared" si="7"/>
        <v>8</v>
      </c>
      <c r="AD31" s="32"/>
      <c r="AE31" s="21"/>
      <c r="AF31" s="34"/>
      <c r="AG31" s="32"/>
      <c r="AH31" s="10">
        <f t="shared" si="8"/>
        <v>12</v>
      </c>
      <c r="AI31" s="41">
        <f t="shared" si="9"/>
        <v>8</v>
      </c>
      <c r="AJ31" s="10"/>
      <c r="AK31" s="10"/>
    </row>
    <row r="32" spans="1:37" ht="16.5" x14ac:dyDescent="0.3">
      <c r="A32" s="18">
        <v>18</v>
      </c>
      <c r="B32" s="52">
        <v>7485</v>
      </c>
      <c r="C32" s="52" t="s">
        <v>122</v>
      </c>
      <c r="D32" s="51" t="s">
        <v>101</v>
      </c>
      <c r="E32" s="22">
        <v>12</v>
      </c>
      <c r="F32" s="22">
        <v>12</v>
      </c>
      <c r="G32" s="22">
        <v>14</v>
      </c>
      <c r="H32" s="22">
        <v>12</v>
      </c>
      <c r="I32" s="22">
        <v>10</v>
      </c>
      <c r="J32" s="22">
        <v>10</v>
      </c>
      <c r="K32" s="22">
        <v>11</v>
      </c>
      <c r="L32" s="22">
        <v>12</v>
      </c>
      <c r="M32" s="22">
        <v>12</v>
      </c>
      <c r="N32" s="22">
        <v>15</v>
      </c>
      <c r="O32" s="22">
        <v>14</v>
      </c>
      <c r="P32" s="21">
        <v>11</v>
      </c>
      <c r="Q32" s="21">
        <v>12</v>
      </c>
      <c r="R32" s="21">
        <v>12</v>
      </c>
      <c r="S32" s="33">
        <v>11</v>
      </c>
      <c r="T32" s="25">
        <v>11</v>
      </c>
      <c r="U32" s="23"/>
      <c r="V32" s="22"/>
      <c r="W32" s="24">
        <v>12</v>
      </c>
      <c r="X32" s="24"/>
      <c r="Y32" s="20"/>
      <c r="Z32" s="20"/>
      <c r="AA32" s="24">
        <f t="shared" si="5"/>
        <v>0</v>
      </c>
      <c r="AB32" s="20">
        <f t="shared" si="6"/>
        <v>0</v>
      </c>
      <c r="AC32" s="34">
        <f t="shared" si="7"/>
        <v>6</v>
      </c>
      <c r="AD32" s="32"/>
      <c r="AE32" s="21"/>
      <c r="AF32" s="34"/>
      <c r="AG32" s="32"/>
      <c r="AH32" s="10">
        <f t="shared" si="8"/>
        <v>12</v>
      </c>
      <c r="AI32" s="41">
        <f t="shared" si="9"/>
        <v>8</v>
      </c>
      <c r="AJ32" s="10"/>
      <c r="AK32" s="10"/>
    </row>
    <row r="33" spans="1:37" ht="16.5" x14ac:dyDescent="0.3">
      <c r="A33" s="18">
        <v>19</v>
      </c>
      <c r="B33" s="52">
        <v>8677</v>
      </c>
      <c r="C33" s="52" t="s">
        <v>123</v>
      </c>
      <c r="D33" s="51" t="s">
        <v>101</v>
      </c>
      <c r="E33" s="22">
        <v>13</v>
      </c>
      <c r="F33" s="22">
        <v>13</v>
      </c>
      <c r="G33" s="22">
        <v>13</v>
      </c>
      <c r="H33" s="22">
        <v>12</v>
      </c>
      <c r="I33" s="22">
        <v>14</v>
      </c>
      <c r="J33" s="22">
        <v>10</v>
      </c>
      <c r="K33" s="22">
        <v>12</v>
      </c>
      <c r="L33" s="22">
        <v>12</v>
      </c>
      <c r="M33" s="22">
        <v>10</v>
      </c>
      <c r="N33" s="22">
        <v>13</v>
      </c>
      <c r="O33" s="22">
        <v>13</v>
      </c>
      <c r="P33" s="21">
        <v>13</v>
      </c>
      <c r="Q33" s="21">
        <v>17</v>
      </c>
      <c r="R33" s="21">
        <v>14</v>
      </c>
      <c r="S33" s="33">
        <v>15</v>
      </c>
      <c r="T33" s="25">
        <v>10</v>
      </c>
      <c r="U33" s="23"/>
      <c r="V33" s="22"/>
      <c r="W33" s="24">
        <v>10</v>
      </c>
      <c r="X33" s="24"/>
      <c r="Y33" s="20"/>
      <c r="Z33" s="20"/>
      <c r="AA33" s="24">
        <f t="shared" si="5"/>
        <v>0</v>
      </c>
      <c r="AB33" s="20">
        <f t="shared" si="6"/>
        <v>0</v>
      </c>
      <c r="AC33" s="34">
        <f t="shared" si="7"/>
        <v>5</v>
      </c>
      <c r="AD33" s="32"/>
      <c r="AE33" s="21"/>
      <c r="AF33" s="34"/>
      <c r="AG33" s="32"/>
      <c r="AH33" s="10">
        <f t="shared" si="8"/>
        <v>12</v>
      </c>
      <c r="AI33" s="41">
        <f t="shared" si="9"/>
        <v>8</v>
      </c>
      <c r="AJ33" s="10"/>
      <c r="AK33" s="10"/>
    </row>
    <row r="34" spans="1:37" ht="16.5" x14ac:dyDescent="0.3">
      <c r="A34" s="18">
        <v>20</v>
      </c>
      <c r="B34" s="52">
        <v>7348</v>
      </c>
      <c r="C34" s="52" t="s">
        <v>124</v>
      </c>
      <c r="D34" s="51" t="s">
        <v>1</v>
      </c>
      <c r="E34" s="22">
        <v>11</v>
      </c>
      <c r="F34" s="22">
        <v>13</v>
      </c>
      <c r="G34" s="22">
        <v>11</v>
      </c>
      <c r="H34" s="22">
        <v>12</v>
      </c>
      <c r="I34" s="22">
        <v>10</v>
      </c>
      <c r="J34" s="22">
        <v>10</v>
      </c>
      <c r="K34" s="22">
        <v>10</v>
      </c>
      <c r="L34" s="22">
        <v>10</v>
      </c>
      <c r="M34" s="22">
        <v>10</v>
      </c>
      <c r="N34" s="22">
        <v>11</v>
      </c>
      <c r="O34" s="22">
        <v>12</v>
      </c>
      <c r="P34" s="21">
        <v>11</v>
      </c>
      <c r="Q34" s="21">
        <v>15</v>
      </c>
      <c r="R34" s="21">
        <v>10</v>
      </c>
      <c r="S34" s="33">
        <v>11</v>
      </c>
      <c r="T34" s="25">
        <v>10</v>
      </c>
      <c r="U34" s="23"/>
      <c r="V34" s="22"/>
      <c r="W34" s="24">
        <v>12</v>
      </c>
      <c r="X34" s="24"/>
      <c r="Y34" s="20"/>
      <c r="Z34" s="20"/>
      <c r="AA34" s="24">
        <f t="shared" si="5"/>
        <v>0</v>
      </c>
      <c r="AB34" s="20">
        <f t="shared" si="6"/>
        <v>0</v>
      </c>
      <c r="AC34" s="34">
        <f t="shared" si="7"/>
        <v>6</v>
      </c>
      <c r="AD34" s="32"/>
      <c r="AE34" s="21"/>
      <c r="AF34" s="34"/>
      <c r="AG34" s="32"/>
      <c r="AH34" s="10">
        <f t="shared" si="8"/>
        <v>11</v>
      </c>
      <c r="AI34" s="41">
        <f t="shared" si="9"/>
        <v>7</v>
      </c>
      <c r="AJ34" s="10"/>
      <c r="AK34" s="10"/>
    </row>
    <row r="35" spans="1:37" ht="16.5" x14ac:dyDescent="0.3">
      <c r="A35" s="18">
        <v>21</v>
      </c>
      <c r="B35" s="52">
        <v>8662</v>
      </c>
      <c r="C35" s="52" t="s">
        <v>125</v>
      </c>
      <c r="D35" s="51" t="s">
        <v>1</v>
      </c>
      <c r="E35" s="22">
        <v>13</v>
      </c>
      <c r="F35" s="22">
        <v>13</v>
      </c>
      <c r="G35" s="22">
        <v>13</v>
      </c>
      <c r="H35" s="22">
        <v>12</v>
      </c>
      <c r="I35" s="22">
        <v>11</v>
      </c>
      <c r="J35" s="22">
        <v>10</v>
      </c>
      <c r="K35" s="22">
        <v>11</v>
      </c>
      <c r="L35" s="22">
        <v>10</v>
      </c>
      <c r="M35" s="22">
        <v>11</v>
      </c>
      <c r="N35" s="22">
        <v>12</v>
      </c>
      <c r="O35" s="22">
        <v>10</v>
      </c>
      <c r="P35" s="21">
        <v>10</v>
      </c>
      <c r="Q35" s="21">
        <v>14</v>
      </c>
      <c r="R35" s="21">
        <v>14</v>
      </c>
      <c r="S35" s="33">
        <v>17</v>
      </c>
      <c r="T35" s="25">
        <v>12</v>
      </c>
      <c r="U35" s="23"/>
      <c r="V35" s="22"/>
      <c r="W35" s="24">
        <v>16</v>
      </c>
      <c r="X35" s="24"/>
      <c r="Y35" s="20"/>
      <c r="Z35" s="20"/>
      <c r="AA35" s="24">
        <f t="shared" si="5"/>
        <v>0</v>
      </c>
      <c r="AB35" s="20">
        <f t="shared" si="6"/>
        <v>0</v>
      </c>
      <c r="AC35" s="34">
        <f t="shared" si="7"/>
        <v>8</v>
      </c>
      <c r="AD35" s="32"/>
      <c r="AE35" s="21"/>
      <c r="AF35" s="34"/>
      <c r="AG35" s="32"/>
      <c r="AH35" s="10">
        <f t="shared" si="8"/>
        <v>12</v>
      </c>
      <c r="AI35" s="41">
        <f t="shared" si="9"/>
        <v>8</v>
      </c>
      <c r="AJ35" s="10"/>
      <c r="AK35" s="10"/>
    </row>
    <row r="36" spans="1:37" ht="16.5" x14ac:dyDescent="0.3">
      <c r="A36" s="18">
        <v>22</v>
      </c>
      <c r="B36" s="52">
        <v>7298</v>
      </c>
      <c r="C36" s="52" t="s">
        <v>126</v>
      </c>
      <c r="D36" s="51" t="s">
        <v>1</v>
      </c>
      <c r="E36" s="22">
        <v>12</v>
      </c>
      <c r="F36" s="22">
        <v>12</v>
      </c>
      <c r="G36" s="22">
        <v>13</v>
      </c>
      <c r="H36" s="22">
        <v>12</v>
      </c>
      <c r="I36" s="22">
        <v>15</v>
      </c>
      <c r="J36" s="22">
        <v>12</v>
      </c>
      <c r="K36" s="22">
        <v>11</v>
      </c>
      <c r="L36" s="22">
        <v>11</v>
      </c>
      <c r="M36" s="22">
        <v>12</v>
      </c>
      <c r="N36" s="22">
        <v>14</v>
      </c>
      <c r="O36" s="22">
        <v>11</v>
      </c>
      <c r="P36" s="21">
        <v>13</v>
      </c>
      <c r="Q36" s="21">
        <v>15</v>
      </c>
      <c r="R36" s="21">
        <v>14</v>
      </c>
      <c r="S36" s="33">
        <v>13</v>
      </c>
      <c r="T36" s="25">
        <v>17</v>
      </c>
      <c r="U36" s="23"/>
      <c r="V36" s="22"/>
      <c r="W36" s="24">
        <v>15</v>
      </c>
      <c r="X36" s="24"/>
      <c r="Y36" s="20"/>
      <c r="Z36" s="20"/>
      <c r="AA36" s="24">
        <f t="shared" si="5"/>
        <v>0</v>
      </c>
      <c r="AB36" s="20">
        <f t="shared" si="6"/>
        <v>0</v>
      </c>
      <c r="AC36" s="34">
        <f t="shared" si="7"/>
        <v>8</v>
      </c>
      <c r="AD36" s="32"/>
      <c r="AE36" s="21"/>
      <c r="AF36" s="34"/>
      <c r="AG36" s="32"/>
      <c r="AH36" s="10">
        <f t="shared" si="8"/>
        <v>13</v>
      </c>
      <c r="AI36" s="41">
        <f t="shared" si="9"/>
        <v>9</v>
      </c>
      <c r="AJ36" s="10"/>
      <c r="AK36" s="10"/>
    </row>
    <row r="37" spans="1:37" ht="16.5" x14ac:dyDescent="0.3">
      <c r="A37" s="18">
        <v>23</v>
      </c>
      <c r="B37" s="52">
        <v>8678</v>
      </c>
      <c r="C37" s="52" t="s">
        <v>127</v>
      </c>
      <c r="D37" s="51" t="s">
        <v>101</v>
      </c>
      <c r="E37" s="22">
        <v>11</v>
      </c>
      <c r="F37" s="22">
        <v>11</v>
      </c>
      <c r="G37" s="22">
        <v>14</v>
      </c>
      <c r="H37" s="22">
        <v>12</v>
      </c>
      <c r="I37" s="22">
        <v>10</v>
      </c>
      <c r="J37" s="22">
        <v>10</v>
      </c>
      <c r="K37" s="22">
        <v>11</v>
      </c>
      <c r="L37" s="22">
        <v>10</v>
      </c>
      <c r="M37" s="22">
        <v>10</v>
      </c>
      <c r="N37" s="22">
        <v>13</v>
      </c>
      <c r="O37" s="22">
        <v>10</v>
      </c>
      <c r="P37" s="21">
        <v>11</v>
      </c>
      <c r="Q37" s="21">
        <v>13</v>
      </c>
      <c r="R37" s="21">
        <v>10</v>
      </c>
      <c r="S37" s="33">
        <v>11</v>
      </c>
      <c r="T37" s="25">
        <v>10</v>
      </c>
      <c r="U37" s="23"/>
      <c r="V37" s="22"/>
      <c r="W37" s="24">
        <v>10</v>
      </c>
      <c r="X37" s="24"/>
      <c r="Y37" s="20"/>
      <c r="Z37" s="20"/>
      <c r="AA37" s="24">
        <f t="shared" si="5"/>
        <v>0</v>
      </c>
      <c r="AB37" s="20">
        <f t="shared" si="6"/>
        <v>0</v>
      </c>
      <c r="AC37" s="34">
        <f t="shared" si="7"/>
        <v>5</v>
      </c>
      <c r="AD37" s="32"/>
      <c r="AE37" s="21"/>
      <c r="AF37" s="34"/>
      <c r="AG37" s="32"/>
      <c r="AH37" s="10">
        <f t="shared" si="8"/>
        <v>11</v>
      </c>
      <c r="AI37" s="41">
        <f t="shared" si="9"/>
        <v>7</v>
      </c>
      <c r="AJ37" s="10"/>
      <c r="AK37" s="10"/>
    </row>
    <row r="38" spans="1:37" ht="16.5" x14ac:dyDescent="0.3">
      <c r="A38" s="18">
        <v>24</v>
      </c>
      <c r="B38" s="52">
        <v>7459</v>
      </c>
      <c r="C38" s="52" t="s">
        <v>128</v>
      </c>
      <c r="D38" s="51" t="s">
        <v>1</v>
      </c>
      <c r="E38" s="22">
        <v>11</v>
      </c>
      <c r="F38" s="22">
        <v>12</v>
      </c>
      <c r="G38" s="22">
        <v>12</v>
      </c>
      <c r="H38" s="22">
        <v>12</v>
      </c>
      <c r="I38" s="22">
        <v>11</v>
      </c>
      <c r="J38" s="22">
        <v>10</v>
      </c>
      <c r="K38" s="22">
        <v>10</v>
      </c>
      <c r="L38" s="22">
        <v>11</v>
      </c>
      <c r="M38" s="22">
        <v>11</v>
      </c>
      <c r="N38" s="22">
        <v>14</v>
      </c>
      <c r="O38" s="22">
        <v>10</v>
      </c>
      <c r="P38" s="21">
        <v>11</v>
      </c>
      <c r="Q38" s="21">
        <v>17</v>
      </c>
      <c r="R38" s="21">
        <v>13</v>
      </c>
      <c r="S38" s="33">
        <v>12</v>
      </c>
      <c r="T38" s="25">
        <v>11</v>
      </c>
      <c r="U38" s="23"/>
      <c r="V38" s="22"/>
      <c r="W38" s="24">
        <v>15</v>
      </c>
      <c r="X38" s="24"/>
      <c r="Y38" s="20"/>
      <c r="Z38" s="20"/>
      <c r="AA38" s="24">
        <f t="shared" si="5"/>
        <v>0</v>
      </c>
      <c r="AB38" s="20">
        <f t="shared" si="6"/>
        <v>0</v>
      </c>
      <c r="AC38" s="34">
        <f t="shared" si="7"/>
        <v>8</v>
      </c>
      <c r="AD38" s="32"/>
      <c r="AE38" s="21"/>
      <c r="AF38" s="34"/>
      <c r="AG38" s="32"/>
      <c r="AH38" s="10">
        <f t="shared" ref="AH38" si="10">ROUND((E38+F38+G38+H38+I38+J38+K38+L38+M38+N38+O38+P38+Q38+R38+S38+T38+AC38)/17,0)</f>
        <v>12</v>
      </c>
      <c r="AI38" s="41">
        <f t="shared" ref="AI38" si="11">ROUND((4*AH38+AF38+AG38)/6,0)</f>
        <v>8</v>
      </c>
      <c r="AJ38" s="10"/>
      <c r="AK38" s="10"/>
    </row>
    <row r="39" spans="1:37" ht="16.5" x14ac:dyDescent="0.3">
      <c r="A39" s="18">
        <v>25</v>
      </c>
      <c r="B39" s="52">
        <v>7467</v>
      </c>
      <c r="C39" s="52" t="s">
        <v>129</v>
      </c>
      <c r="D39" s="51" t="s">
        <v>1</v>
      </c>
      <c r="E39" s="22">
        <v>12</v>
      </c>
      <c r="F39" s="22">
        <v>14</v>
      </c>
      <c r="G39" s="22">
        <v>13</v>
      </c>
      <c r="H39" s="22">
        <v>12</v>
      </c>
      <c r="I39" s="22">
        <v>12</v>
      </c>
      <c r="J39" s="22">
        <v>12</v>
      </c>
      <c r="K39" s="22">
        <v>12</v>
      </c>
      <c r="L39" s="22">
        <v>10</v>
      </c>
      <c r="M39" s="22">
        <v>12</v>
      </c>
      <c r="N39" s="22">
        <v>14</v>
      </c>
      <c r="O39" s="22">
        <v>12</v>
      </c>
      <c r="P39" s="21">
        <v>12</v>
      </c>
      <c r="Q39" s="21">
        <v>13</v>
      </c>
      <c r="R39" s="21">
        <v>13</v>
      </c>
      <c r="S39" s="33">
        <v>13</v>
      </c>
      <c r="T39" s="25">
        <v>15</v>
      </c>
      <c r="U39" s="23"/>
      <c r="V39" s="22"/>
      <c r="W39" s="24">
        <v>15</v>
      </c>
      <c r="X39" s="24"/>
      <c r="Y39" s="20"/>
      <c r="Z39" s="20"/>
      <c r="AA39" s="24">
        <f t="shared" si="5"/>
        <v>0</v>
      </c>
      <c r="AB39" s="20">
        <f t="shared" si="6"/>
        <v>0</v>
      </c>
      <c r="AC39" s="34">
        <f t="shared" si="7"/>
        <v>8</v>
      </c>
      <c r="AD39" s="32"/>
      <c r="AE39" s="21"/>
      <c r="AF39" s="34"/>
      <c r="AG39" s="32"/>
      <c r="AH39" s="10">
        <f t="shared" ref="AH39:AH44" si="12">ROUND((E39+F38+G39+H39+I39+J39+K39+L39+M39+N39+O39+P39+Q39+R39+S39+T39+AC39)/17,0)</f>
        <v>12</v>
      </c>
      <c r="AI39" s="41">
        <f t="shared" si="9"/>
        <v>8</v>
      </c>
      <c r="AJ39" s="10"/>
      <c r="AK39" s="10"/>
    </row>
    <row r="40" spans="1:37" ht="16.5" x14ac:dyDescent="0.3">
      <c r="A40" s="18">
        <v>26</v>
      </c>
      <c r="B40" s="52">
        <v>8671</v>
      </c>
      <c r="C40" s="52" t="s">
        <v>130</v>
      </c>
      <c r="D40" s="51" t="s">
        <v>1</v>
      </c>
      <c r="E40" s="22">
        <v>12</v>
      </c>
      <c r="F40" s="22">
        <v>12</v>
      </c>
      <c r="G40" s="22">
        <v>13</v>
      </c>
      <c r="H40" s="22">
        <v>12</v>
      </c>
      <c r="I40" s="22">
        <v>11</v>
      </c>
      <c r="J40" s="22">
        <v>10</v>
      </c>
      <c r="K40" s="22">
        <v>11</v>
      </c>
      <c r="L40" s="22">
        <v>11</v>
      </c>
      <c r="M40" s="22">
        <v>10</v>
      </c>
      <c r="N40" s="22">
        <v>11</v>
      </c>
      <c r="O40" s="22">
        <v>13</v>
      </c>
      <c r="P40" s="21">
        <v>11</v>
      </c>
      <c r="Q40" s="21">
        <v>15</v>
      </c>
      <c r="R40" s="21">
        <v>11</v>
      </c>
      <c r="S40" s="33">
        <v>12</v>
      </c>
      <c r="T40" s="25">
        <v>11</v>
      </c>
      <c r="U40" s="23"/>
      <c r="V40" s="22"/>
      <c r="W40" s="24">
        <v>11</v>
      </c>
      <c r="X40" s="24"/>
      <c r="Y40" s="20"/>
      <c r="Z40" s="20"/>
      <c r="AA40" s="24">
        <f t="shared" si="5"/>
        <v>0</v>
      </c>
      <c r="AB40" s="20">
        <f t="shared" si="6"/>
        <v>0</v>
      </c>
      <c r="AC40" s="34">
        <f t="shared" si="7"/>
        <v>6</v>
      </c>
      <c r="AD40" s="32"/>
      <c r="AE40" s="21"/>
      <c r="AF40" s="34"/>
      <c r="AG40" s="32"/>
      <c r="AH40" s="10">
        <f t="shared" si="12"/>
        <v>11</v>
      </c>
      <c r="AI40" s="41">
        <f t="shared" si="9"/>
        <v>7</v>
      </c>
      <c r="AJ40" s="10"/>
      <c r="AK40" s="10"/>
    </row>
    <row r="41" spans="1:37" ht="16.5" x14ac:dyDescent="0.3">
      <c r="A41" s="18">
        <v>27</v>
      </c>
      <c r="B41" s="52">
        <v>7226</v>
      </c>
      <c r="C41" s="52" t="s">
        <v>131</v>
      </c>
      <c r="D41" s="51" t="s">
        <v>101</v>
      </c>
      <c r="E41" s="22">
        <v>16</v>
      </c>
      <c r="F41" s="22">
        <v>17</v>
      </c>
      <c r="G41" s="22">
        <v>14</v>
      </c>
      <c r="H41" s="22">
        <v>12</v>
      </c>
      <c r="I41" s="22">
        <v>15</v>
      </c>
      <c r="J41" s="22">
        <v>14</v>
      </c>
      <c r="K41" s="22">
        <v>14</v>
      </c>
      <c r="L41" s="22">
        <v>12</v>
      </c>
      <c r="M41" s="22">
        <v>16</v>
      </c>
      <c r="N41" s="22">
        <v>15</v>
      </c>
      <c r="O41" s="22">
        <v>15</v>
      </c>
      <c r="P41" s="21">
        <v>14</v>
      </c>
      <c r="Q41" s="21">
        <v>16</v>
      </c>
      <c r="R41" s="21">
        <v>14</v>
      </c>
      <c r="S41" s="33">
        <v>14</v>
      </c>
      <c r="T41" s="25">
        <v>17</v>
      </c>
      <c r="U41" s="23"/>
      <c r="V41" s="22"/>
      <c r="W41" s="24">
        <v>15</v>
      </c>
      <c r="X41" s="24"/>
      <c r="Y41" s="20"/>
      <c r="Z41" s="20"/>
      <c r="AA41" s="24">
        <f t="shared" si="5"/>
        <v>0</v>
      </c>
      <c r="AB41" s="20">
        <f t="shared" si="6"/>
        <v>0</v>
      </c>
      <c r="AC41" s="34">
        <f t="shared" si="7"/>
        <v>8</v>
      </c>
      <c r="AD41" s="32"/>
      <c r="AE41" s="21"/>
      <c r="AF41" s="34"/>
      <c r="AG41" s="32"/>
      <c r="AH41" s="10">
        <f t="shared" si="12"/>
        <v>14</v>
      </c>
      <c r="AI41" s="41">
        <f t="shared" si="9"/>
        <v>9</v>
      </c>
      <c r="AJ41" s="10"/>
      <c r="AK41" s="10"/>
    </row>
    <row r="42" spans="1:37" ht="16.5" x14ac:dyDescent="0.3">
      <c r="A42" s="18">
        <v>28</v>
      </c>
      <c r="B42" s="52">
        <v>7287</v>
      </c>
      <c r="C42" s="52" t="s">
        <v>132</v>
      </c>
      <c r="D42" s="51" t="s">
        <v>1</v>
      </c>
      <c r="E42" s="22">
        <v>17</v>
      </c>
      <c r="F42" s="22">
        <v>18</v>
      </c>
      <c r="G42" s="22">
        <v>16</v>
      </c>
      <c r="H42" s="22">
        <v>13</v>
      </c>
      <c r="I42" s="22">
        <v>14</v>
      </c>
      <c r="J42" s="22">
        <v>14</v>
      </c>
      <c r="K42" s="22">
        <v>16</v>
      </c>
      <c r="L42" s="22">
        <v>12</v>
      </c>
      <c r="M42" s="22">
        <v>12</v>
      </c>
      <c r="N42" s="22">
        <v>16</v>
      </c>
      <c r="O42" s="22">
        <v>16</v>
      </c>
      <c r="P42" s="21">
        <v>14</v>
      </c>
      <c r="Q42" s="21">
        <v>18</v>
      </c>
      <c r="R42" s="21">
        <v>16</v>
      </c>
      <c r="S42" s="33">
        <v>16</v>
      </c>
      <c r="T42" s="25">
        <v>17</v>
      </c>
      <c r="U42" s="23"/>
      <c r="V42" s="22"/>
      <c r="W42" s="24">
        <v>16</v>
      </c>
      <c r="X42" s="24"/>
      <c r="Y42" s="20"/>
      <c r="Z42" s="20"/>
      <c r="AA42" s="24">
        <f t="shared" si="5"/>
        <v>0</v>
      </c>
      <c r="AB42" s="20">
        <f t="shared" si="6"/>
        <v>0</v>
      </c>
      <c r="AC42" s="34">
        <f t="shared" si="7"/>
        <v>8</v>
      </c>
      <c r="AD42" s="32"/>
      <c r="AE42" s="21"/>
      <c r="AF42" s="34"/>
      <c r="AG42" s="32"/>
      <c r="AH42" s="10">
        <f t="shared" si="12"/>
        <v>15</v>
      </c>
      <c r="AI42" s="41">
        <f t="shared" si="9"/>
        <v>10</v>
      </c>
      <c r="AJ42" s="10"/>
      <c r="AK42" s="10"/>
    </row>
    <row r="43" spans="1:37" ht="16.5" x14ac:dyDescent="0.3">
      <c r="A43" s="18">
        <v>29</v>
      </c>
      <c r="B43" s="52"/>
      <c r="C43" s="52" t="s">
        <v>133</v>
      </c>
      <c r="D43" s="51" t="s">
        <v>1</v>
      </c>
      <c r="E43" s="22">
        <v>11</v>
      </c>
      <c r="F43" s="22">
        <v>12</v>
      </c>
      <c r="G43" s="22">
        <v>14</v>
      </c>
      <c r="H43" s="22">
        <v>13</v>
      </c>
      <c r="I43" s="22">
        <v>11</v>
      </c>
      <c r="J43" s="22">
        <v>10</v>
      </c>
      <c r="K43" s="22">
        <v>12</v>
      </c>
      <c r="L43" s="22">
        <v>11</v>
      </c>
      <c r="M43" s="22">
        <v>10</v>
      </c>
      <c r="N43" s="22">
        <v>10</v>
      </c>
      <c r="O43" s="22">
        <v>13</v>
      </c>
      <c r="P43" s="21">
        <v>11</v>
      </c>
      <c r="Q43" s="21">
        <v>15</v>
      </c>
      <c r="R43" s="21">
        <v>12</v>
      </c>
      <c r="S43" s="33">
        <v>13</v>
      </c>
      <c r="T43" s="25">
        <v>10</v>
      </c>
      <c r="U43" s="23"/>
      <c r="V43" s="22"/>
      <c r="W43" s="24">
        <v>9</v>
      </c>
      <c r="X43" s="24"/>
      <c r="Y43" s="20"/>
      <c r="Z43" s="20"/>
      <c r="AA43" s="24">
        <f t="shared" si="5"/>
        <v>0</v>
      </c>
      <c r="AB43" s="20">
        <f t="shared" si="6"/>
        <v>0</v>
      </c>
      <c r="AC43" s="34">
        <f t="shared" si="7"/>
        <v>5</v>
      </c>
      <c r="AD43" s="32"/>
      <c r="AE43" s="21"/>
      <c r="AF43" s="34"/>
      <c r="AG43" s="32"/>
      <c r="AH43" s="10">
        <f t="shared" si="12"/>
        <v>12</v>
      </c>
      <c r="AI43" s="41">
        <f t="shared" si="9"/>
        <v>8</v>
      </c>
      <c r="AJ43" s="10"/>
      <c r="AK43" s="10"/>
    </row>
    <row r="44" spans="1:37" ht="16.5" x14ac:dyDescent="0.3">
      <c r="A44" s="18">
        <v>30</v>
      </c>
      <c r="B44" s="52">
        <v>9265</v>
      </c>
      <c r="C44" s="52" t="s">
        <v>134</v>
      </c>
      <c r="D44" s="51" t="s">
        <v>101</v>
      </c>
      <c r="E44" s="22">
        <v>14</v>
      </c>
      <c r="F44" s="22">
        <v>15</v>
      </c>
      <c r="G44" s="22">
        <v>17</v>
      </c>
      <c r="H44" s="22">
        <v>13</v>
      </c>
      <c r="I44" s="22">
        <v>13</v>
      </c>
      <c r="J44" s="22">
        <v>14</v>
      </c>
      <c r="K44" s="22">
        <v>13</v>
      </c>
      <c r="L44" s="22">
        <v>15</v>
      </c>
      <c r="M44" s="22">
        <v>11</v>
      </c>
      <c r="N44" s="22">
        <v>16</v>
      </c>
      <c r="O44" s="22">
        <v>12</v>
      </c>
      <c r="P44" s="21">
        <v>12</v>
      </c>
      <c r="Q44" s="21">
        <v>16</v>
      </c>
      <c r="R44" s="21">
        <v>14</v>
      </c>
      <c r="S44" s="33">
        <v>14</v>
      </c>
      <c r="T44" s="25">
        <v>11</v>
      </c>
      <c r="U44" s="23"/>
      <c r="V44" s="22"/>
      <c r="W44" s="24">
        <v>12</v>
      </c>
      <c r="X44" s="24"/>
      <c r="Y44" s="20"/>
      <c r="Z44" s="20"/>
      <c r="AA44" s="24">
        <f t="shared" si="5"/>
        <v>0</v>
      </c>
      <c r="AB44" s="20">
        <f t="shared" si="6"/>
        <v>0</v>
      </c>
      <c r="AC44" s="34">
        <f t="shared" si="7"/>
        <v>6</v>
      </c>
      <c r="AD44" s="32"/>
      <c r="AE44" s="21"/>
      <c r="AF44" s="34"/>
      <c r="AG44" s="32"/>
      <c r="AH44" s="10">
        <f t="shared" si="12"/>
        <v>13</v>
      </c>
      <c r="AI44" s="41">
        <f t="shared" si="9"/>
        <v>9</v>
      </c>
      <c r="AJ44" s="10"/>
      <c r="AK44" s="10"/>
    </row>
    <row r="45" spans="1:37" ht="17.25" thickBot="1" x14ac:dyDescent="0.35">
      <c r="A45" s="18">
        <v>31</v>
      </c>
      <c r="B45" s="52">
        <v>9264</v>
      </c>
      <c r="C45" s="52" t="s">
        <v>135</v>
      </c>
      <c r="D45" s="51" t="s">
        <v>1</v>
      </c>
      <c r="E45" s="22">
        <v>11</v>
      </c>
      <c r="F45" s="22">
        <v>11</v>
      </c>
      <c r="G45" s="22">
        <v>14</v>
      </c>
      <c r="H45" s="22">
        <v>15</v>
      </c>
      <c r="I45" s="22">
        <v>11</v>
      </c>
      <c r="J45" s="22">
        <v>10</v>
      </c>
      <c r="K45" s="22">
        <v>14</v>
      </c>
      <c r="L45" s="22">
        <v>12</v>
      </c>
      <c r="M45" s="22">
        <v>10</v>
      </c>
      <c r="N45" s="22">
        <v>12</v>
      </c>
      <c r="O45" s="22">
        <v>16</v>
      </c>
      <c r="P45" s="21">
        <v>11</v>
      </c>
      <c r="Q45" s="21">
        <v>14</v>
      </c>
      <c r="R45" s="21">
        <v>12</v>
      </c>
      <c r="S45" s="33">
        <v>13</v>
      </c>
      <c r="T45" s="25">
        <v>10</v>
      </c>
      <c r="U45" s="23"/>
      <c r="V45" s="22"/>
      <c r="W45" s="24">
        <v>9</v>
      </c>
      <c r="X45" s="24"/>
      <c r="Y45" s="20"/>
      <c r="Z45" s="20"/>
      <c r="AA45" s="24">
        <f t="shared" si="5"/>
        <v>0</v>
      </c>
      <c r="AB45" s="20">
        <f t="shared" si="6"/>
        <v>0</v>
      </c>
      <c r="AC45" s="34">
        <f t="shared" si="7"/>
        <v>5</v>
      </c>
      <c r="AD45" s="32"/>
      <c r="AE45" s="21"/>
      <c r="AF45" s="34"/>
      <c r="AG45" s="32"/>
      <c r="AH45" s="10">
        <f t="shared" si="8"/>
        <v>12</v>
      </c>
      <c r="AI45" s="41">
        <f t="shared" si="9"/>
        <v>8</v>
      </c>
      <c r="AJ45" s="10"/>
      <c r="AK45" s="10" t="s">
        <v>37</v>
      </c>
    </row>
    <row r="46" spans="1:37" x14ac:dyDescent="0.25">
      <c r="A46" s="60" t="s">
        <v>14</v>
      </c>
      <c r="B46" s="61"/>
      <c r="C46" s="61"/>
      <c r="D46" s="62"/>
      <c r="E46" s="60" t="s">
        <v>23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2"/>
      <c r="U46" s="60" t="s">
        <v>63</v>
      </c>
      <c r="V46" s="61"/>
      <c r="W46" s="61"/>
      <c r="X46" s="61"/>
      <c r="Y46" s="61"/>
      <c r="Z46" s="61"/>
      <c r="AA46" s="61"/>
      <c r="AB46" s="61"/>
      <c r="AC46" s="61"/>
      <c r="AD46" s="60" t="s">
        <v>60</v>
      </c>
      <c r="AE46" s="61"/>
      <c r="AF46" s="61"/>
      <c r="AG46" s="62"/>
      <c r="AH46" s="37"/>
      <c r="AI46" s="37"/>
      <c r="AJ46" s="1"/>
      <c r="AK46" s="1"/>
    </row>
    <row r="47" spans="1:37" ht="15.75" thickBot="1" x14ac:dyDescent="0.3">
      <c r="A47" s="79" t="s">
        <v>15</v>
      </c>
      <c r="B47" s="80"/>
      <c r="C47" s="80"/>
      <c r="D47" s="81"/>
      <c r="E47" s="43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43"/>
      <c r="V47" s="44"/>
      <c r="W47" s="82"/>
      <c r="X47" s="82"/>
      <c r="Y47" s="82"/>
      <c r="Z47" s="82"/>
      <c r="AA47" s="82"/>
      <c r="AB47" s="82"/>
      <c r="AC47" s="83"/>
      <c r="AD47" s="30"/>
      <c r="AE47" s="46"/>
      <c r="AF47" s="82"/>
      <c r="AG47" s="83"/>
      <c r="AH47" s="35"/>
      <c r="AI47" s="35"/>
      <c r="AJ47" s="1"/>
      <c r="AK47" s="1"/>
    </row>
    <row r="48" spans="1:37" ht="15.75" thickBot="1" x14ac:dyDescent="0.3"/>
    <row r="49" spans="1:37" x14ac:dyDescent="0.25">
      <c r="A49" s="9" t="s">
        <v>10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8"/>
    </row>
    <row r="50" spans="1:37" x14ac:dyDescent="0.25">
      <c r="A50" s="11"/>
      <c r="AK50" s="12"/>
    </row>
    <row r="51" spans="1:37" ht="15.75" thickBot="1" x14ac:dyDescent="0.3">
      <c r="A51" s="7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6"/>
    </row>
    <row r="54" spans="1:37" x14ac:dyDescent="0.25">
      <c r="B54" s="2" t="s">
        <v>52</v>
      </c>
      <c r="D54" s="2" t="s">
        <v>40</v>
      </c>
      <c r="E54" s="2"/>
      <c r="W54" s="2" t="s">
        <v>36</v>
      </c>
      <c r="X54" s="2"/>
      <c r="Y54" s="2"/>
      <c r="Z54" s="2"/>
      <c r="AA54" s="2" t="s">
        <v>13</v>
      </c>
    </row>
    <row r="55" spans="1:37" x14ac:dyDescent="0.25">
      <c r="A55" s="2" t="s">
        <v>41</v>
      </c>
      <c r="D55" s="2" t="s">
        <v>39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X55" s="2" t="s">
        <v>50</v>
      </c>
      <c r="Y55" s="2"/>
      <c r="Z55" s="2"/>
      <c r="AA55" s="2"/>
      <c r="AB55" s="2"/>
    </row>
    <row r="56" spans="1:37" x14ac:dyDescent="0.25">
      <c r="A56" s="39" t="s">
        <v>62</v>
      </c>
      <c r="F56" s="38" t="s">
        <v>53</v>
      </c>
      <c r="R56" s="2"/>
      <c r="S56" s="2"/>
      <c r="T56" s="2"/>
      <c r="U56" s="2"/>
      <c r="V56" s="2"/>
      <c r="X56" s="2" t="s">
        <v>51</v>
      </c>
      <c r="Y56" s="2"/>
      <c r="Z56" s="2"/>
      <c r="AA56" s="2"/>
      <c r="AB56" s="2"/>
    </row>
    <row r="57" spans="1:3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</sheetData>
  <mergeCells count="41">
    <mergeCell ref="A47:D47"/>
    <mergeCell ref="W47:AC47"/>
    <mergeCell ref="AF47:AG47"/>
    <mergeCell ref="AJ13:AJ14"/>
    <mergeCell ref="AK13:AK14"/>
    <mergeCell ref="A46:D46"/>
    <mergeCell ref="E46:T46"/>
    <mergeCell ref="U46:AC46"/>
    <mergeCell ref="AD46:AG46"/>
    <mergeCell ref="AG12:AG14"/>
    <mergeCell ref="AH12:AH14"/>
    <mergeCell ref="AI12:AI14"/>
    <mergeCell ref="D13:D14"/>
    <mergeCell ref="U13:V13"/>
    <mergeCell ref="W13:W14"/>
    <mergeCell ref="X13:X14"/>
    <mergeCell ref="Y13:Y14"/>
    <mergeCell ref="Z13:Z14"/>
    <mergeCell ref="AA13:AA14"/>
    <mergeCell ref="Q12:Q14"/>
    <mergeCell ref="R12:R14"/>
    <mergeCell ref="S12:S14"/>
    <mergeCell ref="T12:T14"/>
    <mergeCell ref="U12:AC12"/>
    <mergeCell ref="AD12:AF12"/>
    <mergeCell ref="AB13:AB14"/>
    <mergeCell ref="AC13:AC14"/>
    <mergeCell ref="AD13:AE13"/>
    <mergeCell ref="AF13:AF14"/>
    <mergeCell ref="P12:P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</mergeCells>
  <conditionalFormatting sqref="E45:AI45 E38:E44 F38:F43 E15:AI37 G38:AI44">
    <cfRule type="cellIs" dxfId="21" priority="11" operator="lessThan">
      <formula>10</formula>
    </cfRule>
    <cfRule type="cellIs" dxfId="20" priority="12" operator="greaterThan">
      <formula>9</formula>
    </cfRule>
  </conditionalFormatting>
  <conditionalFormatting sqref="AJ15:AJ22">
    <cfRule type="containsText" dxfId="19" priority="8" operator="containsText" text="PAP">
      <formula>NOT(ISERROR(SEARCH("PAP",AJ15)))</formula>
    </cfRule>
  </conditionalFormatting>
  <conditionalFormatting sqref="AJ18">
    <cfRule type="containsText" dxfId="18" priority="7" operator="containsText" text="DEF: PT, ECS, PAP">
      <formula>NOT(ISERROR(SEARCH("DEF: PT, ECS, PAP",AJ18)))</formula>
    </cfRule>
  </conditionalFormatting>
  <conditionalFormatting sqref="AJ23">
    <cfRule type="containsText" dxfId="17" priority="9" operator="containsText" text="DEF: PT, ECS, PAP">
      <formula>NOT(ISERROR(SEARCH("DEF: PT, ECS, PAP",AJ23)))</formula>
    </cfRule>
    <cfRule type="containsText" dxfId="16" priority="10" operator="containsText" text="PAP">
      <formula>NOT(ISERROR(SEARCH("PAP",AJ23)))</formula>
    </cfRule>
  </conditionalFormatting>
  <conditionalFormatting sqref="AK15:AK45">
    <cfRule type="containsText" dxfId="15" priority="13" operator="containsText" text="REPROVADO">
      <formula>NOT(ISERROR(SEARCH("REPROVADO",AK15)))</formula>
    </cfRule>
    <cfRule type="containsText" dxfId="14" priority="14" operator="containsText" text="APROVADO">
      <formula>NOT(ISERROR(SEARCH("APROVADO",AK15)))</formula>
    </cfRule>
    <cfRule type="containsText" dxfId="13" priority="15" operator="containsText" text="N/TRANSITA">
      <formula>NOT(ISERROR(SEARCH("N/TRANSITA",AK15)))</formula>
    </cfRule>
    <cfRule type="containsText" dxfId="12" priority="16" operator="containsText" text="TRANSITA">
      <formula>NOT(ISERROR(SEARCH("TRANSITA",AK15)))</formula>
    </cfRule>
  </conditionalFormatting>
  <conditionalFormatting sqref="F44">
    <cfRule type="cellIs" dxfId="11" priority="1" operator="lessThan">
      <formula>10</formula>
    </cfRule>
    <cfRule type="cellIs" dxfId="10" priority="2" operator="greaterThan">
      <formula>9</formula>
    </cfRule>
  </conditionalFormatting>
  <printOptions horizontalCentered="1" verticalCentered="1"/>
  <pageMargins left="3.937007874015748E-2" right="7.874015748031496E-2" top="0.51181102362204722" bottom="0.78740157480314965" header="0.31496062992125984" footer="0.31496062992125984"/>
  <pageSetup paperSize="8" scale="9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9"/>
  <sheetViews>
    <sheetView topLeftCell="B16" zoomScaleNormal="100" workbookViewId="0">
      <selection activeCell="E20" sqref="E20"/>
    </sheetView>
  </sheetViews>
  <sheetFormatPr defaultRowHeight="15" x14ac:dyDescent="0.25"/>
  <cols>
    <col min="1" max="1" width="6.85546875" customWidth="1"/>
    <col min="2" max="2" width="6.28515625" customWidth="1"/>
    <col min="3" max="3" width="52.42578125" customWidth="1"/>
    <col min="4" max="4" width="3.85546875" customWidth="1"/>
    <col min="5" max="5" width="3.5703125" customWidth="1"/>
    <col min="6" max="20" width="3.7109375" customWidth="1"/>
    <col min="21" max="21" width="3.42578125" customWidth="1"/>
    <col min="22" max="22" width="3.5703125" customWidth="1"/>
    <col min="23" max="23" width="3.42578125" customWidth="1"/>
    <col min="24" max="26" width="3.7109375" customWidth="1"/>
    <col min="27" max="27" width="3.42578125" customWidth="1"/>
    <col min="28" max="28" width="3.5703125" customWidth="1"/>
    <col min="29" max="29" width="4.140625" customWidth="1"/>
    <col min="30" max="30" width="3.28515625" customWidth="1"/>
    <col min="31" max="32" width="3.42578125" customWidth="1"/>
    <col min="33" max="33" width="4.42578125" customWidth="1"/>
    <col min="34" max="34" width="4" customWidth="1"/>
    <col min="35" max="35" width="6.5703125" bestFit="1" customWidth="1"/>
    <col min="36" max="36" width="15.5703125" customWidth="1"/>
    <col min="37" max="37" width="12.5703125" customWidth="1"/>
  </cols>
  <sheetData>
    <row r="5" spans="1:37" ht="18" customHeight="1" x14ac:dyDescent="0.3">
      <c r="A5" s="14"/>
      <c r="B5" s="13" t="s">
        <v>16</v>
      </c>
      <c r="C5" s="19"/>
      <c r="D5" s="16" t="s">
        <v>102</v>
      </c>
      <c r="K5" s="16"/>
    </row>
    <row r="6" spans="1:37" ht="18.75" x14ac:dyDescent="0.3">
      <c r="A6" s="13" t="s">
        <v>33</v>
      </c>
      <c r="C6" s="13"/>
      <c r="D6" s="15" t="s">
        <v>103</v>
      </c>
      <c r="K6" s="15"/>
    </row>
    <row r="7" spans="1:37" ht="18.75" x14ac:dyDescent="0.3">
      <c r="A7" s="13" t="s">
        <v>34</v>
      </c>
      <c r="F7" s="15" t="s">
        <v>104</v>
      </c>
      <c r="O7" s="15"/>
    </row>
    <row r="8" spans="1:37" ht="17.25" x14ac:dyDescent="0.3">
      <c r="A8" s="13" t="s">
        <v>35</v>
      </c>
    </row>
    <row r="9" spans="1:37" ht="20.25" x14ac:dyDescent="0.3">
      <c r="D9" s="40" t="s">
        <v>64</v>
      </c>
    </row>
    <row r="10" spans="1:37" ht="17.25" x14ac:dyDescent="0.3">
      <c r="A10" s="13" t="s">
        <v>12</v>
      </c>
      <c r="C10" s="13" t="s">
        <v>65</v>
      </c>
      <c r="K10" s="13"/>
      <c r="AB10" s="13" t="s">
        <v>61</v>
      </c>
    </row>
    <row r="11" spans="1:37" ht="15.75" thickBot="1" x14ac:dyDescent="0.3"/>
    <row r="12" spans="1:37" ht="15.75" customHeight="1" thickBot="1" x14ac:dyDescent="0.3">
      <c r="E12" s="90" t="s">
        <v>17</v>
      </c>
      <c r="F12" s="72" t="s">
        <v>18</v>
      </c>
      <c r="G12" s="72" t="s">
        <v>19</v>
      </c>
      <c r="H12" s="72" t="s">
        <v>20</v>
      </c>
      <c r="I12" s="72" t="s">
        <v>25</v>
      </c>
      <c r="J12" s="72" t="s">
        <v>26</v>
      </c>
      <c r="K12" s="72" t="s">
        <v>21</v>
      </c>
      <c r="L12" s="72" t="s">
        <v>54</v>
      </c>
      <c r="M12" s="72" t="s">
        <v>27</v>
      </c>
      <c r="N12" s="72" t="s">
        <v>28</v>
      </c>
      <c r="O12" s="72" t="s">
        <v>22</v>
      </c>
      <c r="P12" s="72" t="s">
        <v>55</v>
      </c>
      <c r="Q12" s="72" t="s">
        <v>56</v>
      </c>
      <c r="R12" s="72" t="s">
        <v>57</v>
      </c>
      <c r="S12" s="72" t="s">
        <v>58</v>
      </c>
      <c r="T12" s="84" t="s">
        <v>59</v>
      </c>
      <c r="U12" s="67" t="s">
        <v>48</v>
      </c>
      <c r="V12" s="68"/>
      <c r="W12" s="68"/>
      <c r="X12" s="68"/>
      <c r="Y12" s="68"/>
      <c r="Z12" s="68"/>
      <c r="AA12" s="68"/>
      <c r="AB12" s="68"/>
      <c r="AC12" s="69"/>
      <c r="AD12" s="67" t="s">
        <v>29</v>
      </c>
      <c r="AE12" s="68"/>
      <c r="AF12" s="69"/>
      <c r="AG12" s="57" t="s">
        <v>32</v>
      </c>
      <c r="AH12" s="54" t="s">
        <v>49</v>
      </c>
      <c r="AI12" s="54" t="s">
        <v>43</v>
      </c>
    </row>
    <row r="13" spans="1:37" ht="15" customHeight="1" x14ac:dyDescent="0.25">
      <c r="A13" s="42" t="s">
        <v>4</v>
      </c>
      <c r="B13" s="42" t="s">
        <v>3</v>
      </c>
      <c r="C13" s="3"/>
      <c r="D13" s="87" t="s">
        <v>0</v>
      </c>
      <c r="E13" s="91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85"/>
      <c r="U13" s="63" t="s">
        <v>7</v>
      </c>
      <c r="V13" s="64"/>
      <c r="W13" s="89" t="s">
        <v>30</v>
      </c>
      <c r="X13" s="70" t="s">
        <v>44</v>
      </c>
      <c r="Y13" s="70" t="s">
        <v>45</v>
      </c>
      <c r="Z13" s="70" t="s">
        <v>46</v>
      </c>
      <c r="AA13" s="70" t="s">
        <v>47</v>
      </c>
      <c r="AB13" s="70" t="s">
        <v>31</v>
      </c>
      <c r="AC13" s="65" t="s">
        <v>24</v>
      </c>
      <c r="AD13" s="63" t="s">
        <v>7</v>
      </c>
      <c r="AE13" s="64"/>
      <c r="AF13" s="65" t="s">
        <v>24</v>
      </c>
      <c r="AG13" s="58"/>
      <c r="AH13" s="55"/>
      <c r="AI13" s="55"/>
      <c r="AJ13" s="77" t="s">
        <v>11</v>
      </c>
      <c r="AK13" s="77" t="s">
        <v>2</v>
      </c>
    </row>
    <row r="14" spans="1:37" ht="76.5" customHeight="1" x14ac:dyDescent="0.25">
      <c r="A14" s="50" t="s">
        <v>5</v>
      </c>
      <c r="B14" s="49" t="s">
        <v>6</v>
      </c>
      <c r="C14" s="17" t="s">
        <v>42</v>
      </c>
      <c r="D14" s="88"/>
      <c r="E14" s="92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86"/>
      <c r="U14" s="47" t="s">
        <v>8</v>
      </c>
      <c r="V14" s="48" t="s">
        <v>9</v>
      </c>
      <c r="W14" s="70"/>
      <c r="X14" s="71"/>
      <c r="Y14" s="71"/>
      <c r="Z14" s="71"/>
      <c r="AA14" s="71"/>
      <c r="AB14" s="71"/>
      <c r="AC14" s="66"/>
      <c r="AD14" s="47" t="s">
        <v>8</v>
      </c>
      <c r="AE14" s="48" t="s">
        <v>9</v>
      </c>
      <c r="AF14" s="66"/>
      <c r="AG14" s="59"/>
      <c r="AH14" s="56"/>
      <c r="AI14" s="56"/>
      <c r="AJ14" s="78"/>
      <c r="AK14" s="78"/>
    </row>
    <row r="15" spans="1:37" ht="16.5" customHeight="1" x14ac:dyDescent="0.25">
      <c r="A15" s="18">
        <v>1</v>
      </c>
      <c r="B15" s="52"/>
      <c r="C15" s="52" t="s">
        <v>136</v>
      </c>
      <c r="D15" s="52" t="s">
        <v>1</v>
      </c>
      <c r="E15" s="24">
        <v>11</v>
      </c>
      <c r="F15" s="24">
        <v>11</v>
      </c>
      <c r="G15" s="24">
        <v>11</v>
      </c>
      <c r="H15" s="24">
        <v>12</v>
      </c>
      <c r="I15" s="24">
        <v>11</v>
      </c>
      <c r="J15" s="24">
        <v>11</v>
      </c>
      <c r="K15" s="24">
        <v>13</v>
      </c>
      <c r="L15" s="24">
        <v>11</v>
      </c>
      <c r="M15" s="24">
        <v>13</v>
      </c>
      <c r="N15" s="24">
        <v>13</v>
      </c>
      <c r="O15" s="24">
        <v>11</v>
      </c>
      <c r="P15" s="21">
        <v>13</v>
      </c>
      <c r="Q15" s="21">
        <v>12</v>
      </c>
      <c r="R15" s="21">
        <v>12</v>
      </c>
      <c r="S15" s="32">
        <v>11</v>
      </c>
      <c r="T15" s="34">
        <v>10</v>
      </c>
      <c r="U15" s="23"/>
      <c r="V15" s="24"/>
      <c r="W15" s="24">
        <v>13</v>
      </c>
      <c r="X15" s="24"/>
      <c r="Y15" s="20"/>
      <c r="Z15" s="20"/>
      <c r="AA15" s="24">
        <f>ROUND((Y15+Z15)/2,0)</f>
        <v>0</v>
      </c>
      <c r="AB15" s="20">
        <f>ROUND((X15+AA15)/2,0)</f>
        <v>0</v>
      </c>
      <c r="AC15" s="34">
        <f>ROUND((W15+AB15)/2,0)</f>
        <v>7</v>
      </c>
      <c r="AD15" s="32"/>
      <c r="AE15" s="21"/>
      <c r="AF15" s="34"/>
      <c r="AG15" s="32"/>
      <c r="AH15" s="10">
        <f>ROUND((E15+F15+G15+H15+I15+J15+K15+L15+M15+N15+O15+P15+Q15+R15+S15+T15+AC15)/17,0)</f>
        <v>11</v>
      </c>
      <c r="AI15" s="41">
        <f>ROUND((4*AH15+AF15+AG15)/6,0)</f>
        <v>7</v>
      </c>
      <c r="AJ15" s="10"/>
      <c r="AK15" s="10" t="s">
        <v>37</v>
      </c>
    </row>
    <row r="16" spans="1:37" x14ac:dyDescent="0.25">
      <c r="A16" s="18">
        <v>2</v>
      </c>
      <c r="B16" s="52"/>
      <c r="C16" s="52" t="s">
        <v>137</v>
      </c>
      <c r="D16" s="52" t="s">
        <v>1</v>
      </c>
      <c r="E16" s="24">
        <v>12</v>
      </c>
      <c r="F16" s="24">
        <v>13</v>
      </c>
      <c r="G16" s="24">
        <v>12</v>
      </c>
      <c r="H16" s="24">
        <v>14</v>
      </c>
      <c r="I16" s="24">
        <v>12</v>
      </c>
      <c r="J16" s="24">
        <v>14</v>
      </c>
      <c r="K16" s="24">
        <v>12</v>
      </c>
      <c r="L16" s="24">
        <v>11</v>
      </c>
      <c r="M16" s="24">
        <v>12</v>
      </c>
      <c r="N16" s="24">
        <v>12</v>
      </c>
      <c r="O16" s="24">
        <v>13</v>
      </c>
      <c r="P16" s="24">
        <v>13</v>
      </c>
      <c r="Q16" s="24">
        <v>16</v>
      </c>
      <c r="R16" s="24">
        <v>13</v>
      </c>
      <c r="S16" s="24">
        <v>13</v>
      </c>
      <c r="T16" s="24">
        <v>13</v>
      </c>
      <c r="U16" s="23"/>
      <c r="V16" s="22"/>
      <c r="W16" s="24">
        <v>16</v>
      </c>
      <c r="X16" s="24"/>
      <c r="Y16" s="20"/>
      <c r="Z16" s="20"/>
      <c r="AA16" s="24">
        <f t="shared" ref="AA16:AA29" si="0">ROUND((Y16+Z16)/2,0)</f>
        <v>0</v>
      </c>
      <c r="AB16" s="20">
        <f t="shared" ref="AB16:AB29" si="1">ROUND((X16+AA16)/2,0)</f>
        <v>0</v>
      </c>
      <c r="AC16" s="34">
        <f t="shared" ref="AC16:AC29" si="2">ROUND((W16+AB16)/2,0)</f>
        <v>8</v>
      </c>
      <c r="AD16" s="32"/>
      <c r="AE16" s="21"/>
      <c r="AF16" s="34"/>
      <c r="AG16" s="32"/>
      <c r="AH16" s="10">
        <f t="shared" ref="AH16:AH29" si="3">ROUND((E16+F16+G16+H16+I16+J16+K16+L16+M16+N16+O16+P16+Q16+R16+S16+T16+AC16)/17,0)</f>
        <v>13</v>
      </c>
      <c r="AI16" s="41">
        <f t="shared" ref="AI16:AI29" si="4">ROUND((4*AH16+AF16+AG16)/6,0)</f>
        <v>9</v>
      </c>
      <c r="AJ16" s="10"/>
      <c r="AK16" s="10" t="s">
        <v>37</v>
      </c>
    </row>
    <row r="17" spans="1:37" x14ac:dyDescent="0.25">
      <c r="A17" s="18">
        <v>3</v>
      </c>
      <c r="B17" s="52"/>
      <c r="C17" s="52" t="s">
        <v>165</v>
      </c>
      <c r="D17" s="52" t="s">
        <v>1</v>
      </c>
      <c r="E17" s="22">
        <v>10</v>
      </c>
      <c r="F17" s="22">
        <v>10</v>
      </c>
      <c r="G17" s="22">
        <v>10</v>
      </c>
      <c r="H17" s="22">
        <v>11</v>
      </c>
      <c r="I17" s="22">
        <v>12</v>
      </c>
      <c r="J17" s="22">
        <v>12</v>
      </c>
      <c r="K17" s="22">
        <v>11</v>
      </c>
      <c r="L17" s="22">
        <v>12</v>
      </c>
      <c r="M17" s="22">
        <v>11</v>
      </c>
      <c r="N17" s="22">
        <v>13</v>
      </c>
      <c r="O17" s="22">
        <v>12</v>
      </c>
      <c r="P17" s="21">
        <v>11</v>
      </c>
      <c r="Q17" s="21">
        <v>12</v>
      </c>
      <c r="R17" s="21">
        <v>12</v>
      </c>
      <c r="S17" s="33">
        <v>11</v>
      </c>
      <c r="T17" s="25">
        <v>10</v>
      </c>
      <c r="U17" s="23"/>
      <c r="V17" s="22"/>
      <c r="W17" s="24">
        <v>10</v>
      </c>
      <c r="X17" s="24"/>
      <c r="Y17" s="20"/>
      <c r="Z17" s="20"/>
      <c r="AA17" s="24">
        <f t="shared" si="0"/>
        <v>0</v>
      </c>
      <c r="AB17" s="20">
        <f t="shared" si="1"/>
        <v>0</v>
      </c>
      <c r="AC17" s="34">
        <f t="shared" si="2"/>
        <v>5</v>
      </c>
      <c r="AD17" s="32"/>
      <c r="AE17" s="21"/>
      <c r="AF17" s="34"/>
      <c r="AG17" s="32"/>
      <c r="AH17" s="10">
        <f t="shared" si="3"/>
        <v>11</v>
      </c>
      <c r="AI17" s="41">
        <f t="shared" si="4"/>
        <v>7</v>
      </c>
      <c r="AJ17" s="10"/>
      <c r="AK17" s="10" t="s">
        <v>37</v>
      </c>
    </row>
    <row r="18" spans="1:37" x14ac:dyDescent="0.25">
      <c r="A18" s="18">
        <v>4</v>
      </c>
      <c r="B18" s="52"/>
      <c r="C18" s="52" t="s">
        <v>138</v>
      </c>
      <c r="D18" s="52" t="s">
        <v>1</v>
      </c>
      <c r="E18" s="22">
        <v>11</v>
      </c>
      <c r="F18" s="22">
        <v>13</v>
      </c>
      <c r="G18" s="22">
        <v>14</v>
      </c>
      <c r="H18" s="22">
        <v>15</v>
      </c>
      <c r="I18" s="22">
        <v>14</v>
      </c>
      <c r="J18" s="22">
        <v>13</v>
      </c>
      <c r="K18" s="22">
        <v>13</v>
      </c>
      <c r="L18" s="22">
        <v>13</v>
      </c>
      <c r="M18" s="22">
        <v>14</v>
      </c>
      <c r="N18" s="22">
        <v>14</v>
      </c>
      <c r="O18" s="22">
        <v>10</v>
      </c>
      <c r="P18" s="21">
        <v>13</v>
      </c>
      <c r="Q18" s="21">
        <v>16</v>
      </c>
      <c r="R18" s="21">
        <v>13</v>
      </c>
      <c r="S18" s="33">
        <v>13</v>
      </c>
      <c r="T18" s="25">
        <v>11</v>
      </c>
      <c r="U18" s="23"/>
      <c r="V18" s="22"/>
      <c r="W18" s="24">
        <v>16</v>
      </c>
      <c r="X18" s="24"/>
      <c r="Y18" s="20"/>
      <c r="Z18" s="20"/>
      <c r="AA18" s="24">
        <f t="shared" si="0"/>
        <v>0</v>
      </c>
      <c r="AB18" s="20">
        <f t="shared" si="1"/>
        <v>0</v>
      </c>
      <c r="AC18" s="34">
        <f t="shared" si="2"/>
        <v>8</v>
      </c>
      <c r="AD18" s="32"/>
      <c r="AE18" s="21"/>
      <c r="AF18" s="34"/>
      <c r="AG18" s="32"/>
      <c r="AH18" s="10">
        <f t="shared" si="3"/>
        <v>13</v>
      </c>
      <c r="AI18" s="41">
        <f t="shared" si="4"/>
        <v>9</v>
      </c>
      <c r="AJ18" s="36"/>
      <c r="AK18" s="10" t="s">
        <v>37</v>
      </c>
    </row>
    <row r="19" spans="1:37" ht="18" customHeight="1" x14ac:dyDescent="0.25">
      <c r="A19" s="18">
        <v>5</v>
      </c>
      <c r="B19" s="52"/>
      <c r="C19" s="52" t="s">
        <v>139</v>
      </c>
      <c r="D19" s="52" t="s">
        <v>1</v>
      </c>
      <c r="E19" s="22">
        <v>10</v>
      </c>
      <c r="F19" s="22">
        <v>12</v>
      </c>
      <c r="G19" s="22">
        <v>12</v>
      </c>
      <c r="H19" s="22">
        <v>14</v>
      </c>
      <c r="I19" s="22">
        <v>11</v>
      </c>
      <c r="J19" s="22">
        <v>12</v>
      </c>
      <c r="K19" s="22">
        <v>12</v>
      </c>
      <c r="L19" s="22">
        <v>12</v>
      </c>
      <c r="M19" s="22">
        <v>11</v>
      </c>
      <c r="N19" s="22">
        <v>13</v>
      </c>
      <c r="O19" s="22">
        <v>10</v>
      </c>
      <c r="P19" s="21">
        <v>12</v>
      </c>
      <c r="Q19" s="21">
        <v>13</v>
      </c>
      <c r="R19" s="21">
        <v>12</v>
      </c>
      <c r="S19" s="33">
        <v>10</v>
      </c>
      <c r="T19" s="25">
        <v>10</v>
      </c>
      <c r="U19" s="23"/>
      <c r="V19" s="22"/>
      <c r="W19" s="24">
        <v>13</v>
      </c>
      <c r="X19" s="24"/>
      <c r="Y19" s="20"/>
      <c r="Z19" s="20"/>
      <c r="AA19" s="24">
        <f t="shared" si="0"/>
        <v>0</v>
      </c>
      <c r="AB19" s="20">
        <f t="shared" si="1"/>
        <v>0</v>
      </c>
      <c r="AC19" s="34">
        <f t="shared" si="2"/>
        <v>7</v>
      </c>
      <c r="AD19" s="32"/>
      <c r="AE19" s="21"/>
      <c r="AF19" s="34"/>
      <c r="AG19" s="32"/>
      <c r="AH19" s="10">
        <f t="shared" si="3"/>
        <v>11</v>
      </c>
      <c r="AI19" s="41">
        <f t="shared" si="4"/>
        <v>7</v>
      </c>
      <c r="AJ19" s="10"/>
      <c r="AK19" s="10" t="s">
        <v>37</v>
      </c>
    </row>
    <row r="20" spans="1:37" ht="15" customHeight="1" x14ac:dyDescent="0.25">
      <c r="A20" s="18">
        <v>6</v>
      </c>
      <c r="B20" s="52"/>
      <c r="C20" s="52" t="s">
        <v>140</v>
      </c>
      <c r="D20" s="52" t="s">
        <v>1</v>
      </c>
      <c r="E20" s="22">
        <v>10</v>
      </c>
      <c r="F20" s="22">
        <v>14</v>
      </c>
      <c r="G20" s="22">
        <v>11</v>
      </c>
      <c r="H20" s="22">
        <v>12</v>
      </c>
      <c r="I20" s="22">
        <v>10</v>
      </c>
      <c r="J20" s="22">
        <v>11</v>
      </c>
      <c r="K20" s="22">
        <v>10</v>
      </c>
      <c r="L20" s="22">
        <v>10</v>
      </c>
      <c r="M20" s="22">
        <v>12</v>
      </c>
      <c r="N20" s="22">
        <v>11</v>
      </c>
      <c r="O20" s="22">
        <v>12</v>
      </c>
      <c r="P20" s="21">
        <v>12</v>
      </c>
      <c r="Q20" s="21">
        <v>10</v>
      </c>
      <c r="R20" s="21">
        <v>10</v>
      </c>
      <c r="S20" s="33">
        <v>10</v>
      </c>
      <c r="T20" s="25">
        <v>14</v>
      </c>
      <c r="U20" s="23"/>
      <c r="V20" s="22"/>
      <c r="W20" s="24">
        <v>13</v>
      </c>
      <c r="X20" s="24"/>
      <c r="Y20" s="20"/>
      <c r="Z20" s="20"/>
      <c r="AA20" s="24">
        <f t="shared" si="0"/>
        <v>0</v>
      </c>
      <c r="AB20" s="20">
        <f t="shared" si="1"/>
        <v>0</v>
      </c>
      <c r="AC20" s="34">
        <f t="shared" si="2"/>
        <v>7</v>
      </c>
      <c r="AD20" s="32"/>
      <c r="AE20" s="21"/>
      <c r="AF20" s="34"/>
      <c r="AG20" s="32"/>
      <c r="AH20" s="10">
        <f t="shared" si="3"/>
        <v>11</v>
      </c>
      <c r="AI20" s="41">
        <f t="shared" si="4"/>
        <v>7</v>
      </c>
      <c r="AJ20" s="10"/>
      <c r="AK20" s="10" t="s">
        <v>37</v>
      </c>
    </row>
    <row r="21" spans="1:37" x14ac:dyDescent="0.25">
      <c r="A21" s="18">
        <v>7</v>
      </c>
      <c r="B21" s="52"/>
      <c r="C21" s="52" t="s">
        <v>141</v>
      </c>
      <c r="D21" s="52" t="s">
        <v>1</v>
      </c>
      <c r="E21" s="22">
        <v>10</v>
      </c>
      <c r="F21" s="22">
        <v>11</v>
      </c>
      <c r="G21" s="22">
        <v>12</v>
      </c>
      <c r="H21" s="22">
        <v>14</v>
      </c>
      <c r="I21" s="22">
        <v>10</v>
      </c>
      <c r="J21" s="22">
        <v>13</v>
      </c>
      <c r="K21" s="22">
        <v>11</v>
      </c>
      <c r="L21" s="22">
        <v>11</v>
      </c>
      <c r="M21" s="22">
        <v>11</v>
      </c>
      <c r="N21" s="22">
        <v>12</v>
      </c>
      <c r="O21" s="22">
        <v>12</v>
      </c>
      <c r="P21" s="21">
        <v>12</v>
      </c>
      <c r="Q21" s="21">
        <v>11</v>
      </c>
      <c r="R21" s="21">
        <v>13</v>
      </c>
      <c r="S21" s="33">
        <v>12</v>
      </c>
      <c r="T21" s="25">
        <v>10</v>
      </c>
      <c r="U21" s="23"/>
      <c r="V21" s="22"/>
      <c r="W21" s="24">
        <v>12</v>
      </c>
      <c r="X21" s="24"/>
      <c r="Y21" s="20"/>
      <c r="Z21" s="20"/>
      <c r="AA21" s="24">
        <f t="shared" si="0"/>
        <v>0</v>
      </c>
      <c r="AB21" s="20">
        <f t="shared" si="1"/>
        <v>0</v>
      </c>
      <c r="AC21" s="34">
        <f t="shared" si="2"/>
        <v>6</v>
      </c>
      <c r="AD21" s="32"/>
      <c r="AE21" s="21"/>
      <c r="AF21" s="34"/>
      <c r="AG21" s="32"/>
      <c r="AH21" s="10">
        <f t="shared" si="3"/>
        <v>11</v>
      </c>
      <c r="AI21" s="41">
        <f t="shared" si="4"/>
        <v>7</v>
      </c>
      <c r="AJ21" s="10"/>
      <c r="AK21" s="10" t="s">
        <v>38</v>
      </c>
    </row>
    <row r="22" spans="1:37" x14ac:dyDescent="0.25">
      <c r="A22" s="18">
        <v>8</v>
      </c>
      <c r="B22" s="52"/>
      <c r="C22" s="52" t="s">
        <v>142</v>
      </c>
      <c r="D22" s="52" t="s">
        <v>1</v>
      </c>
      <c r="E22" s="22">
        <v>12</v>
      </c>
      <c r="F22" s="22">
        <v>11</v>
      </c>
      <c r="G22" s="22">
        <v>12</v>
      </c>
      <c r="H22" s="22">
        <v>13</v>
      </c>
      <c r="I22" s="22">
        <v>11</v>
      </c>
      <c r="J22" s="22">
        <v>13</v>
      </c>
      <c r="K22" s="22">
        <v>11</v>
      </c>
      <c r="L22" s="22">
        <v>11</v>
      </c>
      <c r="M22" s="22">
        <v>15</v>
      </c>
      <c r="N22" s="22">
        <v>11</v>
      </c>
      <c r="O22" s="22">
        <v>11</v>
      </c>
      <c r="P22" s="21">
        <v>12</v>
      </c>
      <c r="Q22" s="21">
        <v>11</v>
      </c>
      <c r="R22" s="21">
        <v>13</v>
      </c>
      <c r="S22" s="33">
        <v>12</v>
      </c>
      <c r="T22" s="25">
        <v>10</v>
      </c>
      <c r="U22" s="23"/>
      <c r="V22" s="22"/>
      <c r="W22" s="24">
        <v>13</v>
      </c>
      <c r="X22" s="24"/>
      <c r="Y22" s="20"/>
      <c r="Z22" s="20"/>
      <c r="AA22" s="24">
        <f t="shared" si="0"/>
        <v>0</v>
      </c>
      <c r="AB22" s="20">
        <f t="shared" si="1"/>
        <v>0</v>
      </c>
      <c r="AC22" s="34">
        <f t="shared" si="2"/>
        <v>7</v>
      </c>
      <c r="AD22" s="32"/>
      <c r="AE22" s="21"/>
      <c r="AF22" s="34"/>
      <c r="AG22" s="32"/>
      <c r="AH22" s="10">
        <f t="shared" si="3"/>
        <v>12</v>
      </c>
      <c r="AI22" s="41">
        <f t="shared" si="4"/>
        <v>8</v>
      </c>
      <c r="AJ22" s="10"/>
      <c r="AK22" s="10" t="s">
        <v>37</v>
      </c>
    </row>
    <row r="23" spans="1:37" ht="15.75" customHeight="1" x14ac:dyDescent="0.25">
      <c r="A23" s="18">
        <v>9</v>
      </c>
      <c r="B23" s="52"/>
      <c r="C23" s="52" t="s">
        <v>143</v>
      </c>
      <c r="D23" s="52" t="s">
        <v>1</v>
      </c>
      <c r="E23" s="22">
        <v>13</v>
      </c>
      <c r="F23" s="22">
        <v>11</v>
      </c>
      <c r="G23" s="22">
        <v>11</v>
      </c>
      <c r="H23" s="22">
        <v>13</v>
      </c>
      <c r="I23" s="22">
        <v>10</v>
      </c>
      <c r="J23" s="22">
        <v>12</v>
      </c>
      <c r="K23" s="22">
        <v>10</v>
      </c>
      <c r="L23" s="22">
        <v>10</v>
      </c>
      <c r="M23" s="22">
        <v>10</v>
      </c>
      <c r="N23" s="22">
        <v>11</v>
      </c>
      <c r="O23" s="22">
        <v>11</v>
      </c>
      <c r="P23" s="21">
        <v>11</v>
      </c>
      <c r="Q23" s="21">
        <v>13</v>
      </c>
      <c r="R23" s="21">
        <v>13</v>
      </c>
      <c r="S23" s="33">
        <v>14</v>
      </c>
      <c r="T23" s="25">
        <v>9</v>
      </c>
      <c r="U23" s="23"/>
      <c r="V23" s="22"/>
      <c r="W23" s="24">
        <v>11</v>
      </c>
      <c r="X23" s="24"/>
      <c r="Y23" s="20"/>
      <c r="Z23" s="20"/>
      <c r="AA23" s="24">
        <f t="shared" si="0"/>
        <v>0</v>
      </c>
      <c r="AB23" s="20">
        <f t="shared" si="1"/>
        <v>0</v>
      </c>
      <c r="AC23" s="34">
        <f>ROUND((W23+AB23)/2,0)</f>
        <v>6</v>
      </c>
      <c r="AD23" s="32"/>
      <c r="AE23" s="21"/>
      <c r="AF23" s="34"/>
      <c r="AG23" s="32"/>
      <c r="AH23" s="10">
        <f t="shared" si="3"/>
        <v>11</v>
      </c>
      <c r="AI23" s="41">
        <f t="shared" si="4"/>
        <v>7</v>
      </c>
      <c r="AJ23" s="36"/>
      <c r="AK23" s="10" t="s">
        <v>37</v>
      </c>
    </row>
    <row r="24" spans="1:37" ht="15.75" customHeight="1" x14ac:dyDescent="0.25">
      <c r="A24" s="18"/>
      <c r="B24" s="52"/>
      <c r="C24" s="52" t="s">
        <v>164</v>
      </c>
      <c r="D24" s="52" t="s">
        <v>1</v>
      </c>
      <c r="E24" s="22">
        <v>13</v>
      </c>
      <c r="F24" s="22">
        <v>15</v>
      </c>
      <c r="G24" s="22">
        <v>12</v>
      </c>
      <c r="H24" s="22">
        <v>14</v>
      </c>
      <c r="I24" s="22">
        <v>11</v>
      </c>
      <c r="J24" s="22">
        <v>13</v>
      </c>
      <c r="K24" s="22">
        <v>10</v>
      </c>
      <c r="L24" s="22">
        <v>12</v>
      </c>
      <c r="M24" s="22">
        <v>12</v>
      </c>
      <c r="N24" s="22">
        <v>12</v>
      </c>
      <c r="O24" s="22">
        <v>11</v>
      </c>
      <c r="P24" s="21">
        <v>12</v>
      </c>
      <c r="Q24" s="21">
        <v>11</v>
      </c>
      <c r="R24" s="21">
        <v>11</v>
      </c>
      <c r="S24" s="33">
        <v>13</v>
      </c>
      <c r="T24" s="25">
        <v>14</v>
      </c>
      <c r="U24" s="23"/>
      <c r="V24" s="22"/>
      <c r="W24" s="24">
        <v>11</v>
      </c>
      <c r="X24" s="24"/>
      <c r="Y24" s="20"/>
      <c r="Z24" s="20"/>
      <c r="AA24" s="24">
        <f t="shared" ref="AA24" si="5">ROUND((Y24+Z24)/2,0)</f>
        <v>0</v>
      </c>
      <c r="AB24" s="20">
        <f t="shared" ref="AB24" si="6">ROUND((X24+AA24)/2,0)</f>
        <v>0</v>
      </c>
      <c r="AC24" s="34">
        <f>ROUND((W24+AB24)/2,0)</f>
        <v>6</v>
      </c>
      <c r="AD24" s="32"/>
      <c r="AE24" s="21"/>
      <c r="AF24" s="34"/>
      <c r="AG24" s="32"/>
      <c r="AH24" s="10">
        <f t="shared" ref="AH24" si="7">ROUND((E24+F24+G24+H24+I24+J24+K24+L24+M24+N24+O24+P24+Q24+R24+S24+T24+AC24)/17,0)</f>
        <v>12</v>
      </c>
      <c r="AI24" s="41">
        <f t="shared" ref="AI24" si="8">ROUND((4*AH24+AF24+AG24)/6,0)</f>
        <v>8</v>
      </c>
      <c r="AJ24" s="36"/>
      <c r="AK24" s="10"/>
    </row>
    <row r="25" spans="1:37" x14ac:dyDescent="0.25">
      <c r="A25" s="18">
        <v>10</v>
      </c>
      <c r="B25" s="52"/>
      <c r="C25" s="52" t="s">
        <v>144</v>
      </c>
      <c r="D25" s="52" t="s">
        <v>101</v>
      </c>
      <c r="E25" s="22">
        <v>14</v>
      </c>
      <c r="F25" s="22">
        <v>10</v>
      </c>
      <c r="G25" s="22">
        <v>14</v>
      </c>
      <c r="H25" s="22">
        <v>13</v>
      </c>
      <c r="I25" s="22">
        <v>12</v>
      </c>
      <c r="J25" s="22">
        <v>12</v>
      </c>
      <c r="K25" s="22">
        <v>12</v>
      </c>
      <c r="L25" s="22">
        <v>13</v>
      </c>
      <c r="M25" s="22">
        <v>13</v>
      </c>
      <c r="N25" s="22">
        <v>14</v>
      </c>
      <c r="O25" s="22">
        <v>12</v>
      </c>
      <c r="P25" s="21">
        <v>14</v>
      </c>
      <c r="Q25" s="21">
        <v>11</v>
      </c>
      <c r="R25" s="21">
        <v>12</v>
      </c>
      <c r="S25" s="33">
        <v>14</v>
      </c>
      <c r="T25" s="25">
        <v>10</v>
      </c>
      <c r="U25" s="23"/>
      <c r="V25" s="22"/>
      <c r="W25" s="24">
        <v>17</v>
      </c>
      <c r="X25" s="24"/>
      <c r="Y25" s="20"/>
      <c r="Z25" s="20"/>
      <c r="AA25" s="24">
        <f t="shared" si="0"/>
        <v>0</v>
      </c>
      <c r="AB25" s="20">
        <f t="shared" si="1"/>
        <v>0</v>
      </c>
      <c r="AC25" s="34">
        <f t="shared" si="2"/>
        <v>9</v>
      </c>
      <c r="AD25" s="32"/>
      <c r="AE25" s="21"/>
      <c r="AF25" s="34"/>
      <c r="AG25" s="32"/>
      <c r="AH25" s="10">
        <f t="shared" si="3"/>
        <v>12</v>
      </c>
      <c r="AI25" s="41">
        <f t="shared" si="4"/>
        <v>8</v>
      </c>
      <c r="AJ25" s="10"/>
      <c r="AK25" s="10" t="s">
        <v>37</v>
      </c>
    </row>
    <row r="26" spans="1:37" x14ac:dyDescent="0.25">
      <c r="A26" s="18">
        <v>11</v>
      </c>
      <c r="B26" s="52"/>
      <c r="C26" s="52" t="s">
        <v>145</v>
      </c>
      <c r="D26" s="52" t="s">
        <v>101</v>
      </c>
      <c r="E26" s="22">
        <v>12</v>
      </c>
      <c r="F26" s="22">
        <v>11</v>
      </c>
      <c r="G26" s="22">
        <v>12</v>
      </c>
      <c r="H26" s="22">
        <v>13</v>
      </c>
      <c r="I26" s="22">
        <v>11</v>
      </c>
      <c r="J26" s="22">
        <v>14</v>
      </c>
      <c r="K26" s="22">
        <v>11</v>
      </c>
      <c r="L26" s="22">
        <v>11</v>
      </c>
      <c r="M26" s="22">
        <v>14</v>
      </c>
      <c r="N26" s="22">
        <v>12</v>
      </c>
      <c r="O26" s="22">
        <v>13</v>
      </c>
      <c r="P26" s="21">
        <v>12</v>
      </c>
      <c r="Q26" s="21">
        <v>11</v>
      </c>
      <c r="R26" s="21">
        <v>12</v>
      </c>
      <c r="S26" s="33">
        <v>13</v>
      </c>
      <c r="T26" s="25">
        <v>9</v>
      </c>
      <c r="U26" s="23"/>
      <c r="V26" s="22"/>
      <c r="W26" s="24">
        <v>14</v>
      </c>
      <c r="X26" s="24"/>
      <c r="Y26" s="20"/>
      <c r="Z26" s="20"/>
      <c r="AA26" s="24">
        <f t="shared" si="0"/>
        <v>0</v>
      </c>
      <c r="AB26" s="20">
        <f t="shared" si="1"/>
        <v>0</v>
      </c>
      <c r="AC26" s="34">
        <f t="shared" si="2"/>
        <v>7</v>
      </c>
      <c r="AD26" s="32"/>
      <c r="AE26" s="21"/>
      <c r="AF26" s="34"/>
      <c r="AG26" s="32"/>
      <c r="AH26" s="10">
        <f t="shared" si="3"/>
        <v>12</v>
      </c>
      <c r="AI26" s="41">
        <f t="shared" si="4"/>
        <v>8</v>
      </c>
      <c r="AJ26" s="10"/>
      <c r="AK26" s="10" t="s">
        <v>38</v>
      </c>
    </row>
    <row r="27" spans="1:37" ht="17.25" customHeight="1" x14ac:dyDescent="0.25">
      <c r="A27" s="18">
        <v>12</v>
      </c>
      <c r="B27" s="52"/>
      <c r="C27" s="52" t="s">
        <v>146</v>
      </c>
      <c r="D27" s="52" t="s">
        <v>1</v>
      </c>
      <c r="E27" s="22">
        <v>12</v>
      </c>
      <c r="F27" s="22">
        <v>14</v>
      </c>
      <c r="G27" s="22">
        <v>13</v>
      </c>
      <c r="H27" s="22">
        <v>13</v>
      </c>
      <c r="I27" s="22">
        <v>12</v>
      </c>
      <c r="J27" s="22">
        <v>13</v>
      </c>
      <c r="K27" s="22">
        <v>11</v>
      </c>
      <c r="L27" s="22">
        <v>12</v>
      </c>
      <c r="M27" s="22">
        <v>12</v>
      </c>
      <c r="N27" s="22">
        <v>12</v>
      </c>
      <c r="O27" s="22">
        <v>13</v>
      </c>
      <c r="P27" s="21">
        <v>12</v>
      </c>
      <c r="Q27" s="21">
        <v>13</v>
      </c>
      <c r="R27" s="21">
        <v>12</v>
      </c>
      <c r="S27" s="33">
        <v>13</v>
      </c>
      <c r="T27" s="25">
        <v>13</v>
      </c>
      <c r="U27" s="23"/>
      <c r="V27" s="22"/>
      <c r="W27" s="24">
        <v>12</v>
      </c>
      <c r="X27" s="24"/>
      <c r="Y27" s="20"/>
      <c r="Z27" s="20"/>
      <c r="AA27" s="24">
        <f t="shared" si="0"/>
        <v>0</v>
      </c>
      <c r="AB27" s="20">
        <f t="shared" si="1"/>
        <v>0</v>
      </c>
      <c r="AC27" s="34">
        <f t="shared" si="2"/>
        <v>6</v>
      </c>
      <c r="AD27" s="32"/>
      <c r="AE27" s="21"/>
      <c r="AF27" s="34"/>
      <c r="AG27" s="32"/>
      <c r="AH27" s="10">
        <f t="shared" si="3"/>
        <v>12</v>
      </c>
      <c r="AI27" s="41">
        <f t="shared" si="4"/>
        <v>8</v>
      </c>
      <c r="AJ27" s="10"/>
      <c r="AK27" s="10" t="s">
        <v>37</v>
      </c>
    </row>
    <row r="28" spans="1:37" ht="15.75" customHeight="1" x14ac:dyDescent="0.25">
      <c r="A28" s="18">
        <v>13</v>
      </c>
      <c r="B28" s="52"/>
      <c r="C28" s="52" t="s">
        <v>147</v>
      </c>
      <c r="D28" s="52" t="s">
        <v>1</v>
      </c>
      <c r="E28" s="22">
        <v>15</v>
      </c>
      <c r="F28" s="22">
        <v>16</v>
      </c>
      <c r="G28" s="22">
        <v>14</v>
      </c>
      <c r="H28" s="22">
        <v>14</v>
      </c>
      <c r="I28" s="22">
        <v>15</v>
      </c>
      <c r="J28" s="22">
        <v>16</v>
      </c>
      <c r="K28" s="22">
        <v>15</v>
      </c>
      <c r="L28" s="22">
        <v>14</v>
      </c>
      <c r="M28" s="22">
        <v>16</v>
      </c>
      <c r="N28" s="22">
        <v>15</v>
      </c>
      <c r="O28" s="22">
        <v>11</v>
      </c>
      <c r="P28" s="21">
        <v>16</v>
      </c>
      <c r="Q28" s="21">
        <v>17</v>
      </c>
      <c r="R28" s="21">
        <v>14</v>
      </c>
      <c r="S28" s="33">
        <v>16</v>
      </c>
      <c r="T28" s="25">
        <v>20</v>
      </c>
      <c r="U28" s="23"/>
      <c r="V28" s="22"/>
      <c r="W28" s="24">
        <v>15</v>
      </c>
      <c r="X28" s="24"/>
      <c r="Y28" s="20"/>
      <c r="Z28" s="20"/>
      <c r="AA28" s="24">
        <f t="shared" si="0"/>
        <v>0</v>
      </c>
      <c r="AB28" s="20">
        <f t="shared" si="1"/>
        <v>0</v>
      </c>
      <c r="AC28" s="34">
        <f t="shared" si="2"/>
        <v>8</v>
      </c>
      <c r="AD28" s="32"/>
      <c r="AE28" s="21"/>
      <c r="AF28" s="34"/>
      <c r="AG28" s="32"/>
      <c r="AH28" s="10">
        <f t="shared" si="3"/>
        <v>15</v>
      </c>
      <c r="AI28" s="41">
        <f t="shared" si="4"/>
        <v>10</v>
      </c>
      <c r="AJ28" s="10"/>
      <c r="AK28" s="10" t="s">
        <v>37</v>
      </c>
    </row>
    <row r="29" spans="1:37" x14ac:dyDescent="0.25">
      <c r="A29" s="18">
        <v>14</v>
      </c>
      <c r="B29" s="52"/>
      <c r="C29" s="52" t="s">
        <v>148</v>
      </c>
      <c r="D29" s="52" t="s">
        <v>1</v>
      </c>
      <c r="E29" s="22">
        <v>12</v>
      </c>
      <c r="F29" s="22">
        <v>10</v>
      </c>
      <c r="G29" s="22">
        <v>10</v>
      </c>
      <c r="H29" s="22">
        <v>10</v>
      </c>
      <c r="I29" s="22">
        <v>10</v>
      </c>
      <c r="J29" s="22">
        <v>11</v>
      </c>
      <c r="K29" s="22">
        <v>10</v>
      </c>
      <c r="L29" s="22">
        <v>11</v>
      </c>
      <c r="M29" s="22">
        <v>10</v>
      </c>
      <c r="N29" s="22">
        <v>11</v>
      </c>
      <c r="O29" s="22">
        <v>12</v>
      </c>
      <c r="P29" s="21">
        <v>12</v>
      </c>
      <c r="Q29" s="21">
        <v>10</v>
      </c>
      <c r="R29" s="21">
        <v>14</v>
      </c>
      <c r="S29" s="33">
        <v>11</v>
      </c>
      <c r="T29" s="25">
        <v>9</v>
      </c>
      <c r="U29" s="23"/>
      <c r="V29" s="22"/>
      <c r="W29" s="24">
        <v>13</v>
      </c>
      <c r="X29" s="24"/>
      <c r="Y29" s="20"/>
      <c r="Z29" s="20"/>
      <c r="AA29" s="24">
        <f t="shared" si="0"/>
        <v>0</v>
      </c>
      <c r="AB29" s="20">
        <f t="shared" si="1"/>
        <v>0</v>
      </c>
      <c r="AC29" s="34">
        <f t="shared" si="2"/>
        <v>7</v>
      </c>
      <c r="AD29" s="32"/>
      <c r="AE29" s="21"/>
      <c r="AF29" s="34"/>
      <c r="AG29" s="32"/>
      <c r="AH29" s="10">
        <f t="shared" si="3"/>
        <v>11</v>
      </c>
      <c r="AI29" s="41">
        <f t="shared" si="4"/>
        <v>7</v>
      </c>
      <c r="AJ29" s="10"/>
      <c r="AK29" s="10" t="s">
        <v>37</v>
      </c>
    </row>
    <row r="30" spans="1:37" x14ac:dyDescent="0.25">
      <c r="A30" s="18">
        <v>15</v>
      </c>
      <c r="B30" s="52"/>
      <c r="C30" s="52" t="s">
        <v>149</v>
      </c>
      <c r="D30" s="52" t="s">
        <v>1</v>
      </c>
      <c r="E30" s="22">
        <v>11</v>
      </c>
      <c r="F30" s="22">
        <v>11</v>
      </c>
      <c r="G30" s="22">
        <v>11</v>
      </c>
      <c r="H30" s="22">
        <v>12</v>
      </c>
      <c r="I30" s="22">
        <v>11</v>
      </c>
      <c r="J30" s="22">
        <v>13</v>
      </c>
      <c r="K30" s="22">
        <v>11</v>
      </c>
      <c r="L30" s="22">
        <v>12</v>
      </c>
      <c r="M30" s="22">
        <v>10</v>
      </c>
      <c r="N30" s="22">
        <v>12</v>
      </c>
      <c r="O30" s="22">
        <v>11</v>
      </c>
      <c r="P30" s="21">
        <v>11</v>
      </c>
      <c r="Q30" s="21">
        <v>14</v>
      </c>
      <c r="R30" s="21">
        <v>11</v>
      </c>
      <c r="S30" s="33">
        <v>11</v>
      </c>
      <c r="T30" s="25">
        <v>9</v>
      </c>
      <c r="U30" s="23"/>
      <c r="V30" s="22"/>
      <c r="W30" s="24">
        <v>12</v>
      </c>
      <c r="X30" s="24"/>
      <c r="Y30" s="20"/>
      <c r="Z30" s="20"/>
      <c r="AA30" s="24">
        <f t="shared" ref="AA30:AA44" si="9">ROUND((Y30+Z30)/2,0)</f>
        <v>0</v>
      </c>
      <c r="AB30" s="20">
        <f t="shared" ref="AB30:AB44" si="10">ROUND((X30+AA30)/2,0)</f>
        <v>0</v>
      </c>
      <c r="AC30" s="34">
        <f t="shared" ref="AC30:AC44" si="11">ROUND((W30+AB30)/2,0)</f>
        <v>6</v>
      </c>
      <c r="AD30" s="32"/>
      <c r="AE30" s="21"/>
      <c r="AF30" s="34"/>
      <c r="AG30" s="32"/>
      <c r="AH30" s="10">
        <f t="shared" ref="AH30:AH44" si="12">ROUND((E30+F30+G30+H30+I30+J30+K30+L30+M30+N30+O30+P30+Q30+R30+S30+T30+AC30)/17,0)</f>
        <v>11</v>
      </c>
      <c r="AI30" s="41">
        <f t="shared" ref="AI30:AI44" si="13">ROUND((4*AH30+AF30+AG30)/6,0)</f>
        <v>7</v>
      </c>
      <c r="AJ30" s="10"/>
      <c r="AK30" s="10"/>
    </row>
    <row r="31" spans="1:37" x14ac:dyDescent="0.25">
      <c r="A31" s="18">
        <v>16</v>
      </c>
      <c r="B31" s="52"/>
      <c r="C31" s="52" t="s">
        <v>150</v>
      </c>
      <c r="D31" s="52" t="s">
        <v>1</v>
      </c>
      <c r="E31" s="22">
        <v>12</v>
      </c>
      <c r="F31" s="22">
        <v>10</v>
      </c>
      <c r="G31" s="22">
        <v>12</v>
      </c>
      <c r="H31" s="22">
        <v>13</v>
      </c>
      <c r="I31" s="22">
        <v>10</v>
      </c>
      <c r="J31" s="22">
        <v>13</v>
      </c>
      <c r="K31" s="22">
        <v>10</v>
      </c>
      <c r="L31" s="22">
        <v>11</v>
      </c>
      <c r="M31" s="22">
        <v>13</v>
      </c>
      <c r="N31" s="22">
        <v>11</v>
      </c>
      <c r="O31" s="22">
        <v>10</v>
      </c>
      <c r="P31" s="21">
        <v>12</v>
      </c>
      <c r="Q31" s="21">
        <v>11</v>
      </c>
      <c r="R31" s="21">
        <v>11</v>
      </c>
      <c r="S31" s="33">
        <v>10</v>
      </c>
      <c r="T31" s="25">
        <v>11</v>
      </c>
      <c r="U31" s="23"/>
      <c r="V31" s="22"/>
      <c r="W31" s="24">
        <v>11</v>
      </c>
      <c r="X31" s="24"/>
      <c r="Y31" s="20"/>
      <c r="Z31" s="20"/>
      <c r="AA31" s="24">
        <f t="shared" si="9"/>
        <v>0</v>
      </c>
      <c r="AB31" s="20">
        <f t="shared" si="10"/>
        <v>0</v>
      </c>
      <c r="AC31" s="34">
        <f t="shared" si="11"/>
        <v>6</v>
      </c>
      <c r="AD31" s="32"/>
      <c r="AE31" s="21"/>
      <c r="AF31" s="34"/>
      <c r="AG31" s="32"/>
      <c r="AH31" s="10">
        <f t="shared" si="12"/>
        <v>11</v>
      </c>
      <c r="AI31" s="41">
        <f t="shared" si="13"/>
        <v>7</v>
      </c>
      <c r="AJ31" s="10"/>
      <c r="AK31" s="10"/>
    </row>
    <row r="32" spans="1:37" ht="16.5" customHeight="1" x14ac:dyDescent="0.25">
      <c r="A32" s="18">
        <v>17</v>
      </c>
      <c r="B32" s="52"/>
      <c r="C32" s="52" t="s">
        <v>151</v>
      </c>
      <c r="D32" s="52" t="s">
        <v>1</v>
      </c>
      <c r="E32" s="22">
        <v>12</v>
      </c>
      <c r="F32" s="22">
        <v>11</v>
      </c>
      <c r="G32" s="22">
        <v>10</v>
      </c>
      <c r="H32" s="22">
        <v>11</v>
      </c>
      <c r="I32" s="22">
        <v>11</v>
      </c>
      <c r="J32" s="22">
        <v>12</v>
      </c>
      <c r="K32" s="22">
        <v>10</v>
      </c>
      <c r="L32" s="22">
        <v>10</v>
      </c>
      <c r="M32" s="22">
        <v>14</v>
      </c>
      <c r="N32" s="22">
        <v>12</v>
      </c>
      <c r="O32" s="22">
        <v>11</v>
      </c>
      <c r="P32" s="21">
        <v>12</v>
      </c>
      <c r="Q32" s="21">
        <v>14</v>
      </c>
      <c r="R32" s="21">
        <v>12</v>
      </c>
      <c r="S32" s="33">
        <v>11</v>
      </c>
      <c r="T32" s="25">
        <v>9</v>
      </c>
      <c r="U32" s="23"/>
      <c r="V32" s="22"/>
      <c r="W32" s="24">
        <v>11</v>
      </c>
      <c r="X32" s="24"/>
      <c r="Y32" s="20"/>
      <c r="Z32" s="20"/>
      <c r="AA32" s="24">
        <f t="shared" si="9"/>
        <v>0</v>
      </c>
      <c r="AB32" s="20">
        <f t="shared" si="10"/>
        <v>0</v>
      </c>
      <c r="AC32" s="34">
        <f t="shared" si="11"/>
        <v>6</v>
      </c>
      <c r="AD32" s="32"/>
      <c r="AE32" s="21"/>
      <c r="AF32" s="34"/>
      <c r="AG32" s="32"/>
      <c r="AH32" s="10">
        <f t="shared" si="12"/>
        <v>11</v>
      </c>
      <c r="AI32" s="41">
        <f t="shared" si="13"/>
        <v>7</v>
      </c>
      <c r="AJ32" s="10"/>
      <c r="AK32" s="10"/>
    </row>
    <row r="33" spans="1:37" x14ac:dyDescent="0.25">
      <c r="A33" s="18">
        <v>18</v>
      </c>
      <c r="B33" s="52"/>
      <c r="C33" s="52" t="s">
        <v>152</v>
      </c>
      <c r="D33" s="52" t="s">
        <v>1</v>
      </c>
      <c r="E33" s="22">
        <v>12</v>
      </c>
      <c r="F33" s="22">
        <v>11</v>
      </c>
      <c r="G33" s="22">
        <v>13</v>
      </c>
      <c r="H33" s="22">
        <v>12</v>
      </c>
      <c r="I33" s="22">
        <v>12</v>
      </c>
      <c r="J33" s="22">
        <v>11</v>
      </c>
      <c r="K33" s="22">
        <v>12</v>
      </c>
      <c r="L33" s="22">
        <v>12</v>
      </c>
      <c r="M33" s="22">
        <v>11</v>
      </c>
      <c r="N33" s="22">
        <v>11</v>
      </c>
      <c r="O33" s="22">
        <v>11</v>
      </c>
      <c r="P33" s="21">
        <v>11</v>
      </c>
      <c r="Q33" s="21">
        <v>12</v>
      </c>
      <c r="R33" s="21">
        <v>12</v>
      </c>
      <c r="S33" s="33">
        <v>12</v>
      </c>
      <c r="T33" s="25">
        <v>10</v>
      </c>
      <c r="U33" s="23"/>
      <c r="V33" s="22"/>
      <c r="W33" s="24">
        <v>14</v>
      </c>
      <c r="X33" s="24"/>
      <c r="Y33" s="20"/>
      <c r="Z33" s="20"/>
      <c r="AA33" s="24">
        <f t="shared" si="9"/>
        <v>0</v>
      </c>
      <c r="AB33" s="20">
        <f t="shared" si="10"/>
        <v>0</v>
      </c>
      <c r="AC33" s="34">
        <f t="shared" si="11"/>
        <v>7</v>
      </c>
      <c r="AD33" s="32"/>
      <c r="AE33" s="21"/>
      <c r="AF33" s="34"/>
      <c r="AG33" s="32"/>
      <c r="AH33" s="10">
        <f t="shared" si="12"/>
        <v>11</v>
      </c>
      <c r="AI33" s="41">
        <f t="shared" si="13"/>
        <v>7</v>
      </c>
      <c r="AJ33" s="10"/>
      <c r="AK33" s="10"/>
    </row>
    <row r="34" spans="1:37" x14ac:dyDescent="0.25">
      <c r="A34" s="18">
        <v>19</v>
      </c>
      <c r="B34" s="52"/>
      <c r="C34" s="52" t="s">
        <v>153</v>
      </c>
      <c r="D34" s="52" t="s">
        <v>101</v>
      </c>
      <c r="E34" s="22">
        <v>13</v>
      </c>
      <c r="F34" s="22">
        <v>11</v>
      </c>
      <c r="G34" s="22">
        <v>13</v>
      </c>
      <c r="H34" s="22">
        <v>12</v>
      </c>
      <c r="I34" s="22">
        <v>12</v>
      </c>
      <c r="J34" s="22">
        <v>12</v>
      </c>
      <c r="K34" s="22">
        <v>10</v>
      </c>
      <c r="L34" s="22">
        <v>13</v>
      </c>
      <c r="M34" s="22">
        <v>14</v>
      </c>
      <c r="N34" s="22">
        <v>12</v>
      </c>
      <c r="O34" s="22">
        <v>10</v>
      </c>
      <c r="P34" s="21">
        <v>12</v>
      </c>
      <c r="Q34" s="21">
        <v>10</v>
      </c>
      <c r="R34" s="21">
        <v>11</v>
      </c>
      <c r="S34" s="33">
        <v>11</v>
      </c>
      <c r="T34" s="25">
        <v>19</v>
      </c>
      <c r="U34" s="23"/>
      <c r="V34" s="22"/>
      <c r="W34" s="24">
        <v>15</v>
      </c>
      <c r="X34" s="24"/>
      <c r="Y34" s="20"/>
      <c r="Z34" s="20"/>
      <c r="AA34" s="24">
        <f t="shared" si="9"/>
        <v>0</v>
      </c>
      <c r="AB34" s="20">
        <f t="shared" si="10"/>
        <v>0</v>
      </c>
      <c r="AC34" s="34">
        <f t="shared" si="11"/>
        <v>8</v>
      </c>
      <c r="AD34" s="32"/>
      <c r="AE34" s="21"/>
      <c r="AF34" s="34"/>
      <c r="AG34" s="32"/>
      <c r="AH34" s="10">
        <f t="shared" si="12"/>
        <v>12</v>
      </c>
      <c r="AI34" s="41">
        <f t="shared" si="13"/>
        <v>8</v>
      </c>
      <c r="AJ34" s="10"/>
      <c r="AK34" s="10"/>
    </row>
    <row r="35" spans="1:37" x14ac:dyDescent="0.25">
      <c r="A35" s="18">
        <v>20</v>
      </c>
      <c r="B35" s="52"/>
      <c r="C35" s="52" t="s">
        <v>154</v>
      </c>
      <c r="D35" s="52" t="s">
        <v>1</v>
      </c>
      <c r="E35" s="22">
        <v>11</v>
      </c>
      <c r="F35" s="22">
        <v>13</v>
      </c>
      <c r="G35" s="22">
        <v>12</v>
      </c>
      <c r="H35" s="22">
        <v>13</v>
      </c>
      <c r="I35" s="22">
        <v>11</v>
      </c>
      <c r="J35" s="22">
        <v>13</v>
      </c>
      <c r="K35" s="22">
        <v>11</v>
      </c>
      <c r="L35" s="22">
        <v>12</v>
      </c>
      <c r="M35" s="22">
        <v>11</v>
      </c>
      <c r="N35" s="22">
        <v>12</v>
      </c>
      <c r="O35" s="22">
        <v>12</v>
      </c>
      <c r="P35" s="21">
        <v>13</v>
      </c>
      <c r="Q35" s="21">
        <v>12</v>
      </c>
      <c r="R35" s="21">
        <v>12</v>
      </c>
      <c r="S35" s="33">
        <v>13</v>
      </c>
      <c r="T35" s="25">
        <v>10</v>
      </c>
      <c r="U35" s="23"/>
      <c r="V35" s="22"/>
      <c r="W35" s="24">
        <v>10</v>
      </c>
      <c r="X35" s="24"/>
      <c r="Y35" s="20"/>
      <c r="Z35" s="20"/>
      <c r="AA35" s="24">
        <f t="shared" si="9"/>
        <v>0</v>
      </c>
      <c r="AB35" s="20">
        <f t="shared" si="10"/>
        <v>0</v>
      </c>
      <c r="AC35" s="34">
        <f t="shared" si="11"/>
        <v>5</v>
      </c>
      <c r="AD35" s="32"/>
      <c r="AE35" s="21"/>
      <c r="AF35" s="34"/>
      <c r="AG35" s="32"/>
      <c r="AH35" s="10">
        <f t="shared" si="12"/>
        <v>12</v>
      </c>
      <c r="AI35" s="41">
        <f t="shared" si="13"/>
        <v>8</v>
      </c>
      <c r="AJ35" s="10"/>
      <c r="AK35" s="10"/>
    </row>
    <row r="36" spans="1:37" x14ac:dyDescent="0.25">
      <c r="A36" s="18">
        <v>21</v>
      </c>
      <c r="B36" s="52"/>
      <c r="C36" s="52" t="s">
        <v>155</v>
      </c>
      <c r="D36" s="52" t="s">
        <v>1</v>
      </c>
      <c r="E36" s="22">
        <v>13</v>
      </c>
      <c r="F36" s="22">
        <v>12</v>
      </c>
      <c r="G36" s="22">
        <v>16</v>
      </c>
      <c r="H36" s="22">
        <v>14</v>
      </c>
      <c r="I36" s="22">
        <v>12</v>
      </c>
      <c r="J36" s="22">
        <v>12</v>
      </c>
      <c r="K36" s="22">
        <v>14</v>
      </c>
      <c r="L36" s="22">
        <v>11</v>
      </c>
      <c r="M36" s="22">
        <v>16</v>
      </c>
      <c r="N36" s="22">
        <v>14</v>
      </c>
      <c r="O36" s="22">
        <v>15</v>
      </c>
      <c r="P36" s="21">
        <v>13</v>
      </c>
      <c r="Q36" s="21">
        <v>14</v>
      </c>
      <c r="R36" s="21">
        <v>12</v>
      </c>
      <c r="S36" s="33">
        <v>11</v>
      </c>
      <c r="T36" s="25">
        <v>12</v>
      </c>
      <c r="U36" s="23"/>
      <c r="V36" s="22"/>
      <c r="W36" s="24">
        <v>13</v>
      </c>
      <c r="X36" s="24"/>
      <c r="Y36" s="20"/>
      <c r="Z36" s="20"/>
      <c r="AA36" s="24">
        <f t="shared" si="9"/>
        <v>0</v>
      </c>
      <c r="AB36" s="20">
        <f t="shared" si="10"/>
        <v>0</v>
      </c>
      <c r="AC36" s="34">
        <f t="shared" si="11"/>
        <v>7</v>
      </c>
      <c r="AD36" s="32"/>
      <c r="AE36" s="21"/>
      <c r="AF36" s="34"/>
      <c r="AG36" s="32"/>
      <c r="AH36" s="10">
        <f t="shared" si="12"/>
        <v>13</v>
      </c>
      <c r="AI36" s="41">
        <f t="shared" si="13"/>
        <v>9</v>
      </c>
      <c r="AJ36" s="10"/>
      <c r="AK36" s="10"/>
    </row>
    <row r="37" spans="1:37" x14ac:dyDescent="0.25">
      <c r="A37" s="18">
        <v>22</v>
      </c>
      <c r="B37" s="52"/>
      <c r="C37" s="52" t="s">
        <v>156</v>
      </c>
      <c r="D37" s="52" t="s">
        <v>1</v>
      </c>
      <c r="E37" s="22">
        <v>13</v>
      </c>
      <c r="F37" s="22">
        <v>15</v>
      </c>
      <c r="G37" s="22">
        <v>12</v>
      </c>
      <c r="H37" s="22">
        <v>12</v>
      </c>
      <c r="I37" s="22">
        <v>11</v>
      </c>
      <c r="J37" s="22">
        <v>13</v>
      </c>
      <c r="K37" s="22">
        <v>11</v>
      </c>
      <c r="L37" s="22">
        <v>12</v>
      </c>
      <c r="M37" s="22">
        <v>13</v>
      </c>
      <c r="N37" s="22">
        <v>13</v>
      </c>
      <c r="O37" s="22">
        <v>12</v>
      </c>
      <c r="P37" s="21">
        <v>12</v>
      </c>
      <c r="Q37" s="21">
        <v>14</v>
      </c>
      <c r="R37" s="21">
        <v>13</v>
      </c>
      <c r="S37" s="33">
        <v>12</v>
      </c>
      <c r="T37" s="25">
        <v>11</v>
      </c>
      <c r="U37" s="23"/>
      <c r="V37" s="22"/>
      <c r="W37" s="24">
        <v>11</v>
      </c>
      <c r="X37" s="24"/>
      <c r="Y37" s="20"/>
      <c r="Z37" s="20"/>
      <c r="AA37" s="24">
        <f t="shared" si="9"/>
        <v>0</v>
      </c>
      <c r="AB37" s="20">
        <f t="shared" si="10"/>
        <v>0</v>
      </c>
      <c r="AC37" s="34">
        <f t="shared" si="11"/>
        <v>6</v>
      </c>
      <c r="AD37" s="32"/>
      <c r="AE37" s="21"/>
      <c r="AF37" s="34"/>
      <c r="AG37" s="32"/>
      <c r="AH37" s="10">
        <f t="shared" si="12"/>
        <v>12</v>
      </c>
      <c r="AI37" s="41">
        <f t="shared" si="13"/>
        <v>8</v>
      </c>
      <c r="AJ37" s="10"/>
      <c r="AK37" s="10"/>
    </row>
    <row r="38" spans="1:37" x14ac:dyDescent="0.25">
      <c r="A38" s="18">
        <v>23</v>
      </c>
      <c r="B38" s="52"/>
      <c r="C38" s="52" t="s">
        <v>157</v>
      </c>
      <c r="D38" s="52" t="s">
        <v>1</v>
      </c>
      <c r="E38" s="22">
        <v>11</v>
      </c>
      <c r="F38" s="22">
        <v>11</v>
      </c>
      <c r="G38" s="22">
        <v>12</v>
      </c>
      <c r="H38" s="22">
        <v>13</v>
      </c>
      <c r="I38" s="22">
        <v>11</v>
      </c>
      <c r="J38" s="22">
        <v>11</v>
      </c>
      <c r="K38" s="22">
        <v>11</v>
      </c>
      <c r="L38" s="22">
        <v>11</v>
      </c>
      <c r="M38" s="22">
        <v>14</v>
      </c>
      <c r="N38" s="22">
        <v>11</v>
      </c>
      <c r="O38" s="22">
        <v>11</v>
      </c>
      <c r="P38" s="21">
        <v>12</v>
      </c>
      <c r="Q38" s="21">
        <v>11</v>
      </c>
      <c r="R38" s="21">
        <v>11</v>
      </c>
      <c r="S38" s="33">
        <v>12</v>
      </c>
      <c r="T38" s="25">
        <v>18</v>
      </c>
      <c r="U38" s="23"/>
      <c r="V38" s="22"/>
      <c r="W38" s="24">
        <v>14</v>
      </c>
      <c r="X38" s="24"/>
      <c r="Y38" s="20"/>
      <c r="Z38" s="20"/>
      <c r="AA38" s="24">
        <f t="shared" si="9"/>
        <v>0</v>
      </c>
      <c r="AB38" s="20">
        <f t="shared" si="10"/>
        <v>0</v>
      </c>
      <c r="AC38" s="34">
        <f t="shared" si="11"/>
        <v>7</v>
      </c>
      <c r="AD38" s="32"/>
      <c r="AE38" s="21"/>
      <c r="AF38" s="34"/>
      <c r="AG38" s="32"/>
      <c r="AH38" s="10">
        <f t="shared" si="12"/>
        <v>12</v>
      </c>
      <c r="AI38" s="41">
        <f t="shared" si="13"/>
        <v>8</v>
      </c>
      <c r="AJ38" s="10"/>
      <c r="AK38" s="10"/>
    </row>
    <row r="39" spans="1:37" x14ac:dyDescent="0.25">
      <c r="A39" s="18">
        <v>24</v>
      </c>
      <c r="B39" s="52"/>
      <c r="C39" s="52" t="s">
        <v>158</v>
      </c>
      <c r="D39" s="52" t="s">
        <v>1</v>
      </c>
      <c r="E39" s="22">
        <v>11</v>
      </c>
      <c r="F39" s="22">
        <v>10</v>
      </c>
      <c r="G39" s="22">
        <v>10</v>
      </c>
      <c r="H39" s="22">
        <v>13</v>
      </c>
      <c r="I39" s="22">
        <v>10</v>
      </c>
      <c r="J39" s="22">
        <v>13</v>
      </c>
      <c r="K39" s="22">
        <v>10</v>
      </c>
      <c r="L39" s="22">
        <v>10</v>
      </c>
      <c r="M39" s="22">
        <v>12</v>
      </c>
      <c r="N39" s="22">
        <v>12</v>
      </c>
      <c r="O39" s="22">
        <v>11</v>
      </c>
      <c r="P39" s="21">
        <v>10</v>
      </c>
      <c r="Q39" s="21">
        <v>10</v>
      </c>
      <c r="R39" s="21">
        <v>12</v>
      </c>
      <c r="S39" s="33">
        <v>11</v>
      </c>
      <c r="T39" s="25">
        <v>10</v>
      </c>
      <c r="U39" s="23"/>
      <c r="V39" s="22"/>
      <c r="W39" s="24">
        <v>12</v>
      </c>
      <c r="X39" s="24"/>
      <c r="Y39" s="20"/>
      <c r="Z39" s="20"/>
      <c r="AA39" s="24">
        <f t="shared" si="9"/>
        <v>0</v>
      </c>
      <c r="AB39" s="20">
        <f t="shared" si="10"/>
        <v>0</v>
      </c>
      <c r="AC39" s="34">
        <f t="shared" si="11"/>
        <v>6</v>
      </c>
      <c r="AD39" s="32"/>
      <c r="AE39" s="21"/>
      <c r="AF39" s="34"/>
      <c r="AG39" s="32"/>
      <c r="AH39" s="10">
        <f t="shared" si="12"/>
        <v>11</v>
      </c>
      <c r="AI39" s="41">
        <f t="shared" si="13"/>
        <v>7</v>
      </c>
      <c r="AJ39" s="10"/>
      <c r="AK39" s="10"/>
    </row>
    <row r="40" spans="1:37" x14ac:dyDescent="0.25">
      <c r="A40" s="18">
        <v>25</v>
      </c>
      <c r="B40" s="52"/>
      <c r="C40" s="52" t="s">
        <v>159</v>
      </c>
      <c r="D40" s="52" t="s">
        <v>1</v>
      </c>
      <c r="E40" s="22">
        <v>11</v>
      </c>
      <c r="F40" s="22">
        <v>11</v>
      </c>
      <c r="G40" s="22">
        <v>11</v>
      </c>
      <c r="H40" s="22">
        <v>12</v>
      </c>
      <c r="I40" s="22">
        <v>11</v>
      </c>
      <c r="J40" s="22">
        <v>12</v>
      </c>
      <c r="K40" s="22">
        <v>10</v>
      </c>
      <c r="L40" s="22">
        <v>11</v>
      </c>
      <c r="M40" s="22">
        <v>11</v>
      </c>
      <c r="N40" s="22">
        <v>12</v>
      </c>
      <c r="O40" s="22">
        <v>12</v>
      </c>
      <c r="P40" s="21">
        <v>11</v>
      </c>
      <c r="Q40" s="21">
        <v>11</v>
      </c>
      <c r="R40" s="21">
        <v>11</v>
      </c>
      <c r="S40" s="33">
        <v>12</v>
      </c>
      <c r="T40" s="25">
        <v>17</v>
      </c>
      <c r="U40" s="23"/>
      <c r="V40" s="22"/>
      <c r="W40" s="24">
        <v>11</v>
      </c>
      <c r="X40" s="24"/>
      <c r="Y40" s="20"/>
      <c r="Z40" s="20"/>
      <c r="AA40" s="24">
        <f t="shared" si="9"/>
        <v>0</v>
      </c>
      <c r="AB40" s="20">
        <f t="shared" si="10"/>
        <v>0</v>
      </c>
      <c r="AC40" s="34">
        <f t="shared" si="11"/>
        <v>6</v>
      </c>
      <c r="AD40" s="32"/>
      <c r="AE40" s="21"/>
      <c r="AF40" s="34"/>
      <c r="AG40" s="32"/>
      <c r="AH40" s="10">
        <f t="shared" si="12"/>
        <v>11</v>
      </c>
      <c r="AI40" s="41">
        <f t="shared" si="13"/>
        <v>7</v>
      </c>
      <c r="AJ40" s="10"/>
      <c r="AK40" s="10"/>
    </row>
    <row r="41" spans="1:37" x14ac:dyDescent="0.25">
      <c r="A41" s="18">
        <v>26</v>
      </c>
      <c r="B41" s="52"/>
      <c r="C41" s="52" t="s">
        <v>160</v>
      </c>
      <c r="D41" s="52" t="s">
        <v>1</v>
      </c>
      <c r="E41" s="22">
        <v>12</v>
      </c>
      <c r="F41" s="22">
        <v>13</v>
      </c>
      <c r="G41" s="22">
        <v>11</v>
      </c>
      <c r="H41" s="22">
        <v>12</v>
      </c>
      <c r="I41" s="22">
        <v>11</v>
      </c>
      <c r="J41" s="22">
        <v>11</v>
      </c>
      <c r="K41" s="22">
        <v>10</v>
      </c>
      <c r="L41" s="22">
        <v>11</v>
      </c>
      <c r="M41" s="22">
        <v>13</v>
      </c>
      <c r="N41" s="22">
        <v>12</v>
      </c>
      <c r="O41" s="22">
        <v>13</v>
      </c>
      <c r="P41" s="21">
        <v>13</v>
      </c>
      <c r="Q41" s="21">
        <v>15</v>
      </c>
      <c r="R41" s="21">
        <v>12</v>
      </c>
      <c r="S41" s="33">
        <v>13</v>
      </c>
      <c r="T41" s="25">
        <v>11</v>
      </c>
      <c r="U41" s="23"/>
      <c r="V41" s="22"/>
      <c r="W41" s="24">
        <v>11</v>
      </c>
      <c r="X41" s="24"/>
      <c r="Y41" s="20"/>
      <c r="Z41" s="20"/>
      <c r="AA41" s="24">
        <f t="shared" si="9"/>
        <v>0</v>
      </c>
      <c r="AB41" s="20">
        <f t="shared" si="10"/>
        <v>0</v>
      </c>
      <c r="AC41" s="34">
        <f t="shared" si="11"/>
        <v>6</v>
      </c>
      <c r="AD41" s="32"/>
      <c r="AE41" s="21"/>
      <c r="AF41" s="34"/>
      <c r="AG41" s="32"/>
      <c r="AH41" s="10">
        <f t="shared" si="12"/>
        <v>12</v>
      </c>
      <c r="AI41" s="41">
        <f t="shared" si="13"/>
        <v>8</v>
      </c>
      <c r="AJ41" s="10"/>
      <c r="AK41" s="10"/>
    </row>
    <row r="42" spans="1:37" ht="15.75" customHeight="1" x14ac:dyDescent="0.25">
      <c r="A42" s="18">
        <v>28</v>
      </c>
      <c r="B42" s="52"/>
      <c r="C42" s="52" t="s">
        <v>161</v>
      </c>
      <c r="D42" s="52" t="s">
        <v>1</v>
      </c>
      <c r="E42" s="22">
        <v>14</v>
      </c>
      <c r="F42" s="22">
        <v>16</v>
      </c>
      <c r="G42" s="22">
        <v>13</v>
      </c>
      <c r="H42" s="22">
        <v>12</v>
      </c>
      <c r="I42" s="22">
        <v>13</v>
      </c>
      <c r="J42" s="22">
        <v>13</v>
      </c>
      <c r="K42" s="22">
        <v>11</v>
      </c>
      <c r="L42" s="22">
        <v>12</v>
      </c>
      <c r="M42" s="22">
        <v>12</v>
      </c>
      <c r="N42" s="22">
        <v>13</v>
      </c>
      <c r="O42" s="22">
        <v>13</v>
      </c>
      <c r="P42" s="21">
        <v>15</v>
      </c>
      <c r="Q42" s="21">
        <v>14</v>
      </c>
      <c r="R42" s="21">
        <v>13</v>
      </c>
      <c r="S42" s="33">
        <v>13</v>
      </c>
      <c r="T42" s="25">
        <v>13</v>
      </c>
      <c r="U42" s="23"/>
      <c r="V42" s="22"/>
      <c r="W42" s="24">
        <v>11</v>
      </c>
      <c r="X42" s="24"/>
      <c r="Y42" s="20"/>
      <c r="Z42" s="20"/>
      <c r="AA42" s="24">
        <f t="shared" si="9"/>
        <v>0</v>
      </c>
      <c r="AB42" s="20">
        <f t="shared" si="10"/>
        <v>0</v>
      </c>
      <c r="AC42" s="34">
        <f t="shared" si="11"/>
        <v>6</v>
      </c>
      <c r="AD42" s="32"/>
      <c r="AE42" s="21"/>
      <c r="AF42" s="34"/>
      <c r="AG42" s="32"/>
      <c r="AH42" s="10">
        <f t="shared" si="12"/>
        <v>13</v>
      </c>
      <c r="AI42" s="41">
        <f t="shared" si="13"/>
        <v>9</v>
      </c>
      <c r="AJ42" s="10"/>
      <c r="AK42" s="10"/>
    </row>
    <row r="43" spans="1:37" x14ac:dyDescent="0.25">
      <c r="A43" s="18">
        <v>29</v>
      </c>
      <c r="B43" s="52"/>
      <c r="C43" s="52"/>
      <c r="D43" s="5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1"/>
      <c r="Q43" s="21"/>
      <c r="R43" s="21"/>
      <c r="S43" s="33"/>
      <c r="T43" s="25"/>
      <c r="U43" s="23"/>
      <c r="V43" s="22"/>
      <c r="W43" s="24"/>
      <c r="X43" s="24"/>
      <c r="Y43" s="20"/>
      <c r="Z43" s="20"/>
      <c r="AA43" s="24">
        <f t="shared" si="9"/>
        <v>0</v>
      </c>
      <c r="AB43" s="20">
        <f t="shared" si="10"/>
        <v>0</v>
      </c>
      <c r="AC43" s="34">
        <f t="shared" si="11"/>
        <v>0</v>
      </c>
      <c r="AD43" s="32"/>
      <c r="AE43" s="21"/>
      <c r="AF43" s="34"/>
      <c r="AG43" s="32"/>
      <c r="AH43" s="10">
        <f t="shared" si="12"/>
        <v>0</v>
      </c>
      <c r="AI43" s="41">
        <f t="shared" si="13"/>
        <v>0</v>
      </c>
      <c r="AJ43" s="10"/>
      <c r="AK43" s="10"/>
    </row>
    <row r="44" spans="1:37" ht="15.75" thickBot="1" x14ac:dyDescent="0.3">
      <c r="A44" s="18">
        <v>30</v>
      </c>
      <c r="B44" s="52"/>
      <c r="C44" s="52"/>
      <c r="D44" s="5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1"/>
      <c r="Q44" s="21"/>
      <c r="R44" s="21"/>
      <c r="S44" s="33"/>
      <c r="T44" s="25"/>
      <c r="U44" s="23"/>
      <c r="V44" s="22"/>
      <c r="W44" s="24"/>
      <c r="X44" s="24"/>
      <c r="Y44" s="20"/>
      <c r="Z44" s="20"/>
      <c r="AA44" s="24">
        <f t="shared" si="9"/>
        <v>0</v>
      </c>
      <c r="AB44" s="20">
        <f t="shared" si="10"/>
        <v>0</v>
      </c>
      <c r="AC44" s="34">
        <f t="shared" si="11"/>
        <v>0</v>
      </c>
      <c r="AD44" s="32"/>
      <c r="AE44" s="21"/>
      <c r="AF44" s="34"/>
      <c r="AG44" s="32"/>
      <c r="AH44" s="10">
        <f t="shared" si="12"/>
        <v>0</v>
      </c>
      <c r="AI44" s="41">
        <f t="shared" si="13"/>
        <v>0</v>
      </c>
      <c r="AJ44" s="10"/>
      <c r="AK44" s="10" t="s">
        <v>37</v>
      </c>
    </row>
    <row r="45" spans="1:37" x14ac:dyDescent="0.25">
      <c r="A45" s="60" t="s">
        <v>14</v>
      </c>
      <c r="B45" s="61"/>
      <c r="C45" s="61"/>
      <c r="D45" s="62"/>
      <c r="E45" s="60" t="s">
        <v>23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  <c r="U45" s="60" t="s">
        <v>63</v>
      </c>
      <c r="V45" s="61"/>
      <c r="W45" s="61"/>
      <c r="X45" s="61"/>
      <c r="Y45" s="61"/>
      <c r="Z45" s="61"/>
      <c r="AA45" s="61"/>
      <c r="AB45" s="61"/>
      <c r="AC45" s="61"/>
      <c r="AD45" s="60" t="s">
        <v>60</v>
      </c>
      <c r="AE45" s="61"/>
      <c r="AF45" s="61"/>
      <c r="AG45" s="62"/>
      <c r="AH45" s="37"/>
      <c r="AI45" s="37"/>
      <c r="AJ45" s="1"/>
      <c r="AK45" s="1"/>
    </row>
    <row r="46" spans="1:37" ht="15.75" thickBot="1" x14ac:dyDescent="0.3">
      <c r="A46" s="79" t="s">
        <v>15</v>
      </c>
      <c r="B46" s="80"/>
      <c r="C46" s="80"/>
      <c r="D46" s="81"/>
      <c r="E46" s="43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3"/>
      <c r="V46" s="44"/>
      <c r="W46" s="82"/>
      <c r="X46" s="82"/>
      <c r="Y46" s="82"/>
      <c r="Z46" s="82"/>
      <c r="AA46" s="82"/>
      <c r="AB46" s="82"/>
      <c r="AC46" s="83"/>
      <c r="AD46" s="30"/>
      <c r="AE46" s="46"/>
      <c r="AF46" s="82"/>
      <c r="AG46" s="83"/>
      <c r="AH46" s="35"/>
      <c r="AI46" s="35"/>
      <c r="AJ46" s="1"/>
      <c r="AK46" s="1"/>
    </row>
    <row r="47" spans="1:37" ht="15.75" thickBot="1" x14ac:dyDescent="0.3"/>
    <row r="48" spans="1:37" x14ac:dyDescent="0.25">
      <c r="A48" s="9" t="s">
        <v>10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8"/>
    </row>
    <row r="49" spans="1:37" x14ac:dyDescent="0.25">
      <c r="A49" s="11"/>
      <c r="AK49" s="12"/>
    </row>
    <row r="50" spans="1:37" ht="15.75" thickBot="1" x14ac:dyDescent="0.3">
      <c r="A50" s="7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6"/>
    </row>
    <row r="53" spans="1:37" x14ac:dyDescent="0.25">
      <c r="B53" s="2" t="s">
        <v>52</v>
      </c>
      <c r="D53" s="2" t="s">
        <v>40</v>
      </c>
      <c r="E53" s="2"/>
      <c r="W53" s="2" t="s">
        <v>36</v>
      </c>
      <c r="X53" s="2"/>
      <c r="Y53" s="2"/>
      <c r="Z53" s="2"/>
      <c r="AA53" s="2" t="s">
        <v>13</v>
      </c>
    </row>
    <row r="54" spans="1:37" x14ac:dyDescent="0.25">
      <c r="A54" s="2" t="s">
        <v>41</v>
      </c>
      <c r="D54" s="2" t="s">
        <v>39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X54" s="2" t="s">
        <v>50</v>
      </c>
      <c r="Y54" s="2"/>
      <c r="Z54" s="2"/>
      <c r="AA54" s="2"/>
      <c r="AB54" s="2"/>
    </row>
    <row r="55" spans="1:37" x14ac:dyDescent="0.25">
      <c r="A55" s="39" t="s">
        <v>62</v>
      </c>
      <c r="F55" s="38" t="s">
        <v>53</v>
      </c>
      <c r="R55" s="2"/>
      <c r="S55" s="2"/>
      <c r="T55" s="2"/>
      <c r="U55" s="2"/>
      <c r="V55" s="2"/>
      <c r="X55" s="2" t="s">
        <v>51</v>
      </c>
      <c r="Y55" s="2"/>
      <c r="Z55" s="2"/>
      <c r="AA55" s="2"/>
      <c r="AB55" s="2"/>
    </row>
    <row r="56" spans="1:3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</sheetData>
  <mergeCells count="41">
    <mergeCell ref="A46:D46"/>
    <mergeCell ref="W46:AC46"/>
    <mergeCell ref="AF46:AG46"/>
    <mergeCell ref="AJ13:AJ14"/>
    <mergeCell ref="AK13:AK14"/>
    <mergeCell ref="A45:D45"/>
    <mergeCell ref="E45:T45"/>
    <mergeCell ref="U45:AC45"/>
    <mergeCell ref="AD45:AG45"/>
    <mergeCell ref="AG12:AG14"/>
    <mergeCell ref="AH12:AH14"/>
    <mergeCell ref="AI12:AI14"/>
    <mergeCell ref="D13:D14"/>
    <mergeCell ref="U13:V13"/>
    <mergeCell ref="W13:W14"/>
    <mergeCell ref="X13:X14"/>
    <mergeCell ref="Y13:Y14"/>
    <mergeCell ref="Z13:Z14"/>
    <mergeCell ref="AA13:AA14"/>
    <mergeCell ref="Q12:Q14"/>
    <mergeCell ref="R12:R14"/>
    <mergeCell ref="S12:S14"/>
    <mergeCell ref="T12:T14"/>
    <mergeCell ref="U12:AC12"/>
    <mergeCell ref="AD12:AF12"/>
    <mergeCell ref="AB13:AB14"/>
    <mergeCell ref="AC13:AC14"/>
    <mergeCell ref="AD13:AE13"/>
    <mergeCell ref="AF13:AF14"/>
    <mergeCell ref="P12:P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</mergeCells>
  <conditionalFormatting sqref="E15:AI44">
    <cfRule type="cellIs" dxfId="9" priority="9" operator="lessThan">
      <formula>10</formula>
    </cfRule>
    <cfRule type="cellIs" dxfId="8" priority="10" operator="greaterThan">
      <formula>9</formula>
    </cfRule>
  </conditionalFormatting>
  <conditionalFormatting sqref="AJ15:AJ22">
    <cfRule type="containsText" dxfId="7" priority="6" operator="containsText" text="PAP">
      <formula>NOT(ISERROR(SEARCH("PAP",AJ15)))</formula>
    </cfRule>
  </conditionalFormatting>
  <conditionalFormatting sqref="AJ18">
    <cfRule type="containsText" dxfId="6" priority="5" operator="containsText" text="DEF: PT, ECS, PAP">
      <formula>NOT(ISERROR(SEARCH("DEF: PT, ECS, PAP",AJ18)))</formula>
    </cfRule>
  </conditionalFormatting>
  <conditionalFormatting sqref="AJ23:AJ24">
    <cfRule type="containsText" dxfId="5" priority="7" operator="containsText" text="DEF: PT, ECS, PAP">
      <formula>NOT(ISERROR(SEARCH("DEF: PT, ECS, PAP",AJ23)))</formula>
    </cfRule>
    <cfRule type="containsText" dxfId="4" priority="8" operator="containsText" text="PAP">
      <formula>NOT(ISERROR(SEARCH("PAP",AJ23)))</formula>
    </cfRule>
  </conditionalFormatting>
  <conditionalFormatting sqref="AK15:AK44">
    <cfRule type="containsText" dxfId="3" priority="11" operator="containsText" text="REPROVADO">
      <formula>NOT(ISERROR(SEARCH("REPROVADO",AK15)))</formula>
    </cfRule>
    <cfRule type="containsText" dxfId="2" priority="12" operator="containsText" text="APROVADO">
      <formula>NOT(ISERROR(SEARCH("APROVADO",AK15)))</formula>
    </cfRule>
    <cfRule type="containsText" dxfId="1" priority="13" operator="containsText" text="N/TRANSITA">
      <formula>NOT(ISERROR(SEARCH("N/TRANSITA",AK15)))</formula>
    </cfRule>
    <cfRule type="containsText" dxfId="0" priority="14" operator="containsText" text="TRANSITA">
      <formula>NOT(ISERROR(SEARCH("TRANSITA",AK15)))</formula>
    </cfRule>
  </conditionalFormatting>
  <printOptions horizontalCentered="1" verticalCentered="1"/>
  <pageMargins left="3.937007874015748E-2" right="7.874015748031496E-2" top="0.51181102362204722" bottom="0.78740157480314965" header="0.31496062992125984" footer="0.31496062992125984"/>
  <pageSetup paperSize="8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INF13AT(3ºT)   </vt:lpstr>
      <vt:lpstr>INF13BT(3ºT)</vt:lpstr>
      <vt:lpstr>INF13CT(3ºT)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COORD.ELECTRICIDADE</dc:creator>
  <cp:lastModifiedBy>Mail Alert</cp:lastModifiedBy>
  <cp:lastPrinted>2025-07-14T09:29:08Z</cp:lastPrinted>
  <dcterms:created xsi:type="dcterms:W3CDTF">2023-10-19T06:21:24Z</dcterms:created>
  <dcterms:modified xsi:type="dcterms:W3CDTF">2026-04-09T02:14:53Z</dcterms:modified>
</cp:coreProperties>
</file>