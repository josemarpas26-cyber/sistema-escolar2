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4-2025\PASTA DAS PAUTAS\PAUTAS ANTIGAS IPIKK\PAUTAS DE INF. 22-23\MINI-PAUTAS DO IIIª-INFORM\"/>
    </mc:Choice>
  </mc:AlternateContent>
  <bookViews>
    <workbookView xWindow="405" yWindow="75" windowWidth="12240" windowHeight="5580"/>
  </bookViews>
  <sheets>
    <sheet name="INF" sheetId="40" r:id="rId1"/>
  </sheets>
  <calcPr calcId="152511"/>
</workbook>
</file>

<file path=xl/calcChain.xml><?xml version="1.0" encoding="utf-8"?>
<calcChain xmlns="http://schemas.openxmlformats.org/spreadsheetml/2006/main">
  <c r="BS50" i="40" l="1"/>
  <c r="BS49" i="40"/>
  <c r="BS47" i="40"/>
  <c r="BS46" i="40"/>
  <c r="BS45" i="40"/>
  <c r="BS44" i="40"/>
  <c r="BS43" i="40"/>
  <c r="BS42" i="40"/>
  <c r="BS41" i="40"/>
  <c r="BS40" i="40"/>
  <c r="BS39" i="40"/>
  <c r="BS38" i="40"/>
  <c r="BS37" i="40"/>
  <c r="BS36" i="40"/>
  <c r="BS35" i="40"/>
  <c r="BS34" i="40"/>
  <c r="BS33" i="40"/>
  <c r="BS32" i="40"/>
  <c r="BS31" i="40"/>
  <c r="BS30" i="40"/>
  <c r="BS29" i="40"/>
  <c r="BS28" i="40"/>
  <c r="BS27" i="40"/>
  <c r="BS26" i="40"/>
  <c r="BS25" i="40"/>
  <c r="BS24" i="40"/>
  <c r="BS23" i="40"/>
  <c r="BS22" i="40"/>
  <c r="BS21" i="40"/>
  <c r="BS20" i="40"/>
  <c r="BS19" i="40"/>
  <c r="BS18" i="40"/>
  <c r="BS17" i="40"/>
  <c r="BS16" i="40"/>
  <c r="BS15" i="40"/>
  <c r="AY50" i="40" l="1"/>
  <c r="AY49" i="40"/>
  <c r="AY47" i="40"/>
  <c r="AY46" i="40"/>
  <c r="AY45" i="40"/>
  <c r="AY44" i="40"/>
  <c r="AY43" i="40"/>
  <c r="AY42" i="40"/>
  <c r="AY41" i="40"/>
  <c r="AY40" i="40"/>
  <c r="AY39" i="40"/>
  <c r="AY38" i="40"/>
  <c r="AY37" i="40"/>
  <c r="AY36" i="40"/>
  <c r="AY35" i="40"/>
  <c r="AY34" i="40"/>
  <c r="AY33" i="40"/>
  <c r="AY32" i="40"/>
  <c r="AY31" i="40"/>
  <c r="AY30" i="40"/>
  <c r="AY29" i="40"/>
  <c r="AY28" i="40"/>
  <c r="AY27" i="40"/>
  <c r="AY26" i="40"/>
  <c r="AY25" i="40"/>
  <c r="AY24" i="40"/>
  <c r="AY23" i="40"/>
  <c r="AY22" i="40"/>
  <c r="AY21" i="40"/>
  <c r="AY20" i="40"/>
  <c r="AY19" i="40"/>
  <c r="AY18" i="40"/>
  <c r="AY17" i="40"/>
  <c r="AY16" i="40"/>
  <c r="AY15" i="40"/>
  <c r="CG50" i="40" l="1"/>
  <c r="CG49" i="40"/>
  <c r="CG47" i="40"/>
  <c r="CG46" i="40"/>
  <c r="CG45" i="40"/>
  <c r="CG44" i="40"/>
  <c r="CG43" i="40"/>
  <c r="CG42" i="40"/>
  <c r="CG41" i="40"/>
  <c r="CG40" i="40"/>
  <c r="CG39" i="40"/>
  <c r="CG38" i="40"/>
  <c r="CG37" i="40"/>
  <c r="CG36" i="40"/>
  <c r="CG35" i="40"/>
  <c r="CG34" i="40"/>
  <c r="CG33" i="40"/>
  <c r="CG32" i="40"/>
  <c r="CG31" i="40"/>
  <c r="CG30" i="40"/>
  <c r="CG29" i="40"/>
  <c r="CG28" i="40"/>
  <c r="CG27" i="40"/>
  <c r="CG26" i="40"/>
  <c r="CG25" i="40"/>
  <c r="CG24" i="40"/>
  <c r="CG23" i="40"/>
  <c r="CG22" i="40"/>
  <c r="CG21" i="40"/>
  <c r="CG20" i="40"/>
  <c r="CG19" i="40"/>
  <c r="CG18" i="40"/>
  <c r="CG17" i="40"/>
  <c r="CG16" i="40"/>
  <c r="CG15" i="40"/>
  <c r="AS50" i="40" l="1"/>
  <c r="AS49" i="40"/>
  <c r="AS47" i="40"/>
  <c r="AS46" i="40"/>
  <c r="AS45" i="40"/>
  <c r="AS44" i="40"/>
  <c r="AS43" i="40"/>
  <c r="AS42" i="40"/>
  <c r="AS41" i="40"/>
  <c r="AS40" i="40"/>
  <c r="AS39" i="40"/>
  <c r="AS38" i="40"/>
  <c r="AS37" i="40"/>
  <c r="AS36" i="40"/>
  <c r="AS35" i="40"/>
  <c r="AS34" i="40"/>
  <c r="AS33" i="40"/>
  <c r="AS32" i="40"/>
  <c r="AS31" i="40"/>
  <c r="AS30" i="40"/>
  <c r="AS29" i="40"/>
  <c r="AS28" i="40"/>
  <c r="AS27" i="40"/>
  <c r="AS26" i="40"/>
  <c r="AS25" i="40"/>
  <c r="AS24" i="40"/>
  <c r="AS23" i="40"/>
  <c r="AS22" i="40"/>
  <c r="AS21" i="40"/>
  <c r="AS20" i="40"/>
  <c r="AS19" i="40"/>
  <c r="AS18" i="40"/>
  <c r="AS17" i="40"/>
  <c r="AS16" i="40"/>
  <c r="AS15" i="40"/>
  <c r="BZ50" i="40" l="1"/>
  <c r="BZ49" i="40"/>
  <c r="BZ47" i="40"/>
  <c r="BZ46" i="40"/>
  <c r="BZ45" i="40"/>
  <c r="BZ44" i="40"/>
  <c r="BZ43" i="40"/>
  <c r="BZ42" i="40"/>
  <c r="BZ41" i="40"/>
  <c r="BZ40" i="40"/>
  <c r="BZ39" i="40"/>
  <c r="BZ38" i="40"/>
  <c r="BZ37" i="40"/>
  <c r="BZ36" i="40"/>
  <c r="BZ35" i="40"/>
  <c r="BZ34" i="40"/>
  <c r="BZ33" i="40"/>
  <c r="BZ32" i="40"/>
  <c r="BZ31" i="40"/>
  <c r="BZ30" i="40"/>
  <c r="BZ29" i="40"/>
  <c r="BZ28" i="40"/>
  <c r="BZ27" i="40"/>
  <c r="BZ26" i="40"/>
  <c r="BZ25" i="40"/>
  <c r="BZ24" i="40"/>
  <c r="BZ23" i="40"/>
  <c r="BZ22" i="40"/>
  <c r="BZ21" i="40"/>
  <c r="BZ20" i="40"/>
  <c r="BZ19" i="40"/>
  <c r="BZ18" i="40"/>
  <c r="BZ17" i="40"/>
  <c r="BZ16" i="40"/>
  <c r="BZ15" i="40"/>
  <c r="BF50" i="40" l="1"/>
  <c r="BF49" i="40"/>
  <c r="BF47" i="40"/>
  <c r="BF46" i="40"/>
  <c r="BF45" i="40"/>
  <c r="BF44" i="40"/>
  <c r="BF43" i="40"/>
  <c r="BF42" i="40"/>
  <c r="BF41" i="40"/>
  <c r="BF40" i="40"/>
  <c r="BF39" i="40"/>
  <c r="BF38" i="40"/>
  <c r="BF37" i="40"/>
  <c r="BF36" i="40"/>
  <c r="BF35" i="40"/>
  <c r="BF34" i="40"/>
  <c r="BF33" i="40"/>
  <c r="BF32" i="40"/>
  <c r="BF31" i="40"/>
  <c r="BF30" i="40"/>
  <c r="BF29" i="40"/>
  <c r="BF28" i="40"/>
  <c r="BF27" i="40"/>
  <c r="BF26" i="40"/>
  <c r="BF25" i="40"/>
  <c r="BF24" i="40"/>
  <c r="BF23" i="40"/>
  <c r="BF22" i="40"/>
  <c r="BF21" i="40"/>
  <c r="BF20" i="40"/>
  <c r="BF19" i="40"/>
  <c r="BF18" i="40"/>
  <c r="BF17" i="40"/>
  <c r="BF16" i="40"/>
  <c r="BF15" i="40"/>
  <c r="BM50" i="40" l="1"/>
  <c r="BM49" i="40"/>
  <c r="BM47" i="40"/>
  <c r="BM46" i="40"/>
  <c r="BM45" i="40"/>
  <c r="BM44" i="40"/>
  <c r="BM43" i="40"/>
  <c r="BM42" i="40"/>
  <c r="BM41" i="40"/>
  <c r="BM40" i="40"/>
  <c r="BM39" i="40"/>
  <c r="BM38" i="40"/>
  <c r="BM37" i="40"/>
  <c r="BM36" i="40"/>
  <c r="BM35" i="40"/>
  <c r="BM34" i="40"/>
  <c r="BM33" i="40"/>
  <c r="BM32" i="40"/>
  <c r="BM31" i="40"/>
  <c r="BM30" i="40"/>
  <c r="BM29" i="40"/>
  <c r="BM28" i="40"/>
  <c r="BM27" i="40"/>
  <c r="BM26" i="40"/>
  <c r="BM25" i="40"/>
  <c r="BM24" i="40"/>
  <c r="BM23" i="40"/>
  <c r="BM22" i="40"/>
  <c r="BM21" i="40"/>
  <c r="BM20" i="40"/>
  <c r="BM19" i="40"/>
  <c r="BM18" i="40"/>
  <c r="BM17" i="40"/>
  <c r="BM16" i="40"/>
  <c r="BM15" i="40"/>
  <c r="AM50" i="40" l="1"/>
  <c r="AM49" i="40"/>
  <c r="AM47" i="40"/>
  <c r="AM46" i="40"/>
  <c r="AM45" i="40"/>
  <c r="AM44" i="40"/>
  <c r="AM43" i="40"/>
  <c r="AM42" i="40"/>
  <c r="AM41" i="40"/>
  <c r="AM40" i="40"/>
  <c r="AM39" i="40"/>
  <c r="AM38" i="40"/>
  <c r="AM37" i="40"/>
  <c r="AM35" i="40"/>
  <c r="AM34" i="40"/>
  <c r="AM33" i="40"/>
  <c r="AM32" i="40"/>
  <c r="AM31" i="40"/>
  <c r="AM30" i="40"/>
  <c r="AM29" i="40"/>
  <c r="AM28" i="40"/>
  <c r="AM27" i="40"/>
  <c r="AM26" i="40"/>
  <c r="AM25" i="40"/>
  <c r="AM24" i="40"/>
  <c r="AM23" i="40"/>
  <c r="AM22" i="40"/>
  <c r="AM21" i="40"/>
  <c r="AM20" i="40"/>
  <c r="AM19" i="40"/>
  <c r="AM18" i="40"/>
  <c r="AM17" i="40"/>
  <c r="AM16" i="40"/>
  <c r="AM15" i="40"/>
  <c r="AF50" i="40" l="1"/>
  <c r="AF49" i="40"/>
  <c r="AF47" i="40"/>
  <c r="AF46" i="40"/>
  <c r="AF45" i="40"/>
  <c r="AF44" i="40"/>
  <c r="AF43" i="40"/>
  <c r="AF42" i="40"/>
  <c r="AF41" i="40"/>
  <c r="AF40" i="40"/>
  <c r="AF39" i="40"/>
  <c r="AF38" i="40"/>
  <c r="AF37" i="40"/>
  <c r="AF36" i="40"/>
  <c r="AF35" i="40"/>
  <c r="AF34" i="40"/>
  <c r="AF33" i="40"/>
  <c r="AF32" i="40"/>
  <c r="AF31" i="40"/>
  <c r="AF30" i="40"/>
  <c r="AF29" i="40"/>
  <c r="AF28" i="40"/>
  <c r="AF27" i="40"/>
  <c r="AF26" i="40"/>
  <c r="AF25" i="40"/>
  <c r="AF24" i="40"/>
  <c r="AF23" i="40"/>
  <c r="AF22" i="40"/>
  <c r="AF21" i="40"/>
  <c r="AF20" i="40"/>
  <c r="AF19" i="40"/>
  <c r="AF18" i="40"/>
  <c r="AF17" i="40"/>
  <c r="AF16" i="40"/>
  <c r="AF15" i="40"/>
  <c r="Y50" i="40" l="1"/>
  <c r="Y49" i="40"/>
  <c r="Y47" i="40"/>
  <c r="Y46" i="40"/>
  <c r="Y45" i="40"/>
  <c r="Y44" i="40"/>
  <c r="Y43" i="40"/>
  <c r="Y42" i="40"/>
  <c r="Y41" i="40"/>
  <c r="Y40" i="40"/>
  <c r="Y39" i="40"/>
  <c r="Y38" i="40"/>
  <c r="Y37" i="40"/>
  <c r="Y36" i="40"/>
  <c r="Y35" i="40"/>
  <c r="Y34" i="40"/>
  <c r="Y33" i="40"/>
  <c r="Y32" i="40"/>
  <c r="Y31" i="40"/>
  <c r="Y30" i="40"/>
  <c r="Y29" i="40"/>
  <c r="Y28" i="40"/>
  <c r="Y27" i="40"/>
  <c r="Y26" i="40"/>
  <c r="Y25" i="40"/>
  <c r="Y24" i="40"/>
  <c r="Y23" i="40"/>
  <c r="Y22" i="40"/>
  <c r="Y21" i="40"/>
  <c r="Y20" i="40"/>
  <c r="Y19" i="40"/>
  <c r="Y18" i="40"/>
  <c r="Y17" i="40"/>
  <c r="Y16" i="40"/>
  <c r="Y15" i="40"/>
  <c r="R50" i="40" l="1"/>
  <c r="R49" i="40"/>
  <c r="R47" i="40"/>
  <c r="R46" i="40"/>
  <c r="R45" i="40"/>
  <c r="R44" i="40"/>
  <c r="R43" i="40"/>
  <c r="R42" i="40"/>
  <c r="R41" i="40"/>
  <c r="R40" i="40"/>
  <c r="R39" i="40"/>
  <c r="R38" i="40"/>
  <c r="R37" i="40"/>
  <c r="R36" i="40"/>
  <c r="R35" i="40"/>
  <c r="R34" i="40"/>
  <c r="R33" i="40"/>
  <c r="R32" i="40"/>
  <c r="R31" i="40"/>
  <c r="R30" i="40"/>
  <c r="R29" i="40"/>
  <c r="R28" i="40"/>
  <c r="R27" i="40"/>
  <c r="R26" i="40"/>
  <c r="R25" i="40"/>
  <c r="R24" i="40"/>
  <c r="R23" i="40"/>
  <c r="R22" i="40"/>
  <c r="R21" i="40"/>
  <c r="R20" i="40"/>
  <c r="R19" i="40"/>
  <c r="R18" i="40"/>
  <c r="R17" i="40"/>
  <c r="R16" i="40"/>
  <c r="R15" i="40"/>
  <c r="K50" i="40" l="1"/>
  <c r="K49" i="40"/>
  <c r="K47" i="40"/>
  <c r="K46" i="40"/>
  <c r="K45" i="40"/>
  <c r="K44" i="40"/>
  <c r="K43" i="40"/>
  <c r="K42" i="40"/>
  <c r="K41" i="40"/>
  <c r="K40" i="40"/>
  <c r="K39" i="40"/>
  <c r="K38" i="40"/>
  <c r="K37" i="40"/>
  <c r="K36" i="40"/>
  <c r="K35" i="40"/>
  <c r="K34" i="40"/>
  <c r="K33" i="40"/>
  <c r="K32" i="40"/>
  <c r="K31" i="40"/>
  <c r="K30" i="40"/>
  <c r="K29" i="40"/>
  <c r="K28" i="40"/>
  <c r="K27" i="40"/>
  <c r="K26" i="40"/>
  <c r="K25" i="40"/>
  <c r="K24" i="40"/>
  <c r="K23" i="40"/>
  <c r="K22" i="40"/>
  <c r="K21" i="40"/>
  <c r="K20" i="40"/>
  <c r="K19" i="40"/>
  <c r="K18" i="40"/>
  <c r="K17" i="40"/>
  <c r="K16" i="40"/>
  <c r="K15" i="40"/>
  <c r="A16" i="40" l="1"/>
  <c r="A17" i="40" s="1"/>
  <c r="A18" i="40" s="1"/>
  <c r="A19" i="40" s="1"/>
  <c r="A20" i="40" s="1"/>
  <c r="A21" i="40" s="1"/>
  <c r="A22" i="40" s="1"/>
  <c r="A23" i="40" s="1"/>
  <c r="A24" i="40" s="1"/>
  <c r="A25" i="40" s="1"/>
  <c r="A26" i="40" s="1"/>
  <c r="A27" i="40" s="1"/>
  <c r="A28" i="40" s="1"/>
  <c r="A29" i="40" s="1"/>
  <c r="A30" i="40" s="1"/>
  <c r="A31" i="40" s="1"/>
  <c r="A32" i="40" s="1"/>
  <c r="A33" i="40" s="1"/>
  <c r="A34" i="40" s="1"/>
  <c r="A35" i="40" s="1"/>
  <c r="A36" i="40" s="1"/>
  <c r="A37" i="40" s="1"/>
  <c r="A38" i="40" s="1"/>
  <c r="A39" i="40" s="1"/>
  <c r="A40" i="40" s="1"/>
  <c r="A41" i="40" s="1"/>
  <c r="A42" i="40" s="1"/>
  <c r="A43" i="40" s="1"/>
  <c r="A44" i="40" s="1"/>
  <c r="A45" i="40" s="1"/>
  <c r="A46" i="40" s="1"/>
  <c r="A47" i="40" s="1"/>
  <c r="A48" i="40" s="1"/>
  <c r="A49" i="40" s="1"/>
  <c r="A50" i="40" s="1"/>
</calcChain>
</file>

<file path=xl/sharedStrings.xml><?xml version="1.0" encoding="utf-8"?>
<sst xmlns="http://schemas.openxmlformats.org/spreadsheetml/2006/main" count="152" uniqueCount="67">
  <si>
    <t>O DIRECTOR</t>
  </si>
  <si>
    <t>______________________________</t>
  </si>
  <si>
    <t>Nº</t>
  </si>
  <si>
    <t>NOME COMPLETO</t>
  </si>
  <si>
    <t>FALTAS</t>
  </si>
  <si>
    <t>ORD</t>
  </si>
  <si>
    <t>PROC.</t>
  </si>
  <si>
    <t>J</t>
  </si>
  <si>
    <t>I</t>
  </si>
  <si>
    <t>RESULTADO</t>
  </si>
  <si>
    <t>_________________________________________</t>
  </si>
  <si>
    <t>Data: _____/_____/_________</t>
  </si>
  <si>
    <t>_____/______/________</t>
  </si>
  <si>
    <t>Na coluna CF indicar EEF (excluído por excesso de faltas) quando for o caso.</t>
  </si>
  <si>
    <t>Na coluna Observações escrever "Exame" quando o aluno não obteve aprovação a alguma disciplina terminal e o Regime de Avaliação dos Alunos o permitir.</t>
  </si>
  <si>
    <t>Observações:</t>
  </si>
  <si>
    <t>Data do Conselho de Turma</t>
  </si>
  <si>
    <t>Na coluna Resultado utilizar: Transita; Não Transita; Anulação de matrícula (AM); Transferido.</t>
  </si>
  <si>
    <t>INGLÊS</t>
  </si>
  <si>
    <t>F.A.I</t>
  </si>
  <si>
    <t>ED. FÍSICA</t>
  </si>
  <si>
    <t>MATEMAT.</t>
  </si>
  <si>
    <t>QUÍMICA</t>
  </si>
  <si>
    <t>SEXO</t>
  </si>
  <si>
    <t>MT1</t>
  </si>
  <si>
    <t>MfT2</t>
  </si>
  <si>
    <t>OBSERV.</t>
  </si>
  <si>
    <t>O DIRECTOR DE TURMA</t>
  </si>
  <si>
    <t>FÍSICA</t>
  </si>
  <si>
    <t>EMPREEND.</t>
  </si>
  <si>
    <t>M</t>
  </si>
  <si>
    <t xml:space="preserve">INSTITUTO POLITÉCNICO INDUSTRIAL DO KILAMBA KIAXI Nº 8056 "NOVA VIDA" </t>
  </si>
  <si>
    <t>Ano Lectivo 2020</t>
  </si>
  <si>
    <t>MAC1</t>
  </si>
  <si>
    <t>NPT1</t>
  </si>
  <si>
    <t>TIC</t>
  </si>
  <si>
    <t>SEAC</t>
  </si>
  <si>
    <r>
      <t>10ª Classe   TURMA: GSI10AM</t>
    </r>
    <r>
      <rPr>
        <b/>
        <u/>
        <sz val="10"/>
        <rFont val="Arial"/>
        <family val="2"/>
      </rPr>
      <t xml:space="preserve"> </t>
    </r>
    <r>
      <rPr>
        <sz val="10"/>
        <rFont val="Arial"/>
        <family val="2"/>
      </rPr>
      <t xml:space="preserve">                              ÁREA: INFORMÁTICA                      CURSO:</t>
    </r>
    <r>
      <rPr>
        <b/>
        <u/>
        <sz val="10"/>
        <rFont val="Arial"/>
        <family val="2"/>
      </rPr>
      <t>TÉCNICO DE GESTÃO DE SISTEMAS INFORMÁTICOS</t>
    </r>
  </si>
  <si>
    <t>Yola Inácio</t>
  </si>
  <si>
    <t>L. PORTUGUESA</t>
  </si>
  <si>
    <t>ELECTROTECNIA</t>
  </si>
  <si>
    <t>T.L.P</t>
  </si>
  <si>
    <t>Mapaxi</t>
  </si>
  <si>
    <t>Francisco Domingos</t>
  </si>
  <si>
    <t>Makiesse Cuta</t>
  </si>
  <si>
    <t>Olga Chipeca</t>
  </si>
  <si>
    <t>Eduardo Ernesto</t>
  </si>
  <si>
    <t>Garcia Tovola</t>
  </si>
  <si>
    <t>Julieta Tchitungo</t>
  </si>
  <si>
    <t>Benjamim Mboloquele</t>
  </si>
  <si>
    <t>Manuel Victor</t>
  </si>
  <si>
    <t xml:space="preserve">                O COORDENADOR DE CURSO</t>
  </si>
  <si>
    <t xml:space="preserve">        Benjamim Mboloquele</t>
  </si>
  <si>
    <t xml:space="preserve">                   Manuel Gonçalves Victor</t>
  </si>
  <si>
    <t>Isabel Simão</t>
  </si>
  <si>
    <t>Carlos Alberto Brito Texeira Da Silva</t>
  </si>
  <si>
    <t xml:space="preserve">INF10AM            SALA:08                  ÁREA: INFORMÁTICA             CURSO: INFORMÁTICA                              </t>
  </si>
  <si>
    <t>:2022/2023</t>
  </si>
  <si>
    <t>Ferreira Manuel Fragoso  Ph,D</t>
  </si>
  <si>
    <t>O SUBDIRECTOR PEDAGÓGICO</t>
  </si>
  <si>
    <t>MAC2</t>
  </si>
  <si>
    <t>NPT2</t>
  </si>
  <si>
    <t>MT2</t>
  </si>
  <si>
    <t>Diassilua Simão</t>
  </si>
  <si>
    <t>____________________________________</t>
  </si>
  <si>
    <t>____________________________________________</t>
  </si>
  <si>
    <t>PAUTA DE APROVEITAMENTO - IIIº TRIMESTRE (17/04/2023 a 28/06/2023)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</si>
</sst>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0"/>
      <name val="Arial"/>
    </font>
    <font>
      <b/>
      <u/>
      <sz val="10"/>
      <name val="Arial"/>
      <family val="2"/>
    </font>
    <font>
      <sz val="5"/>
      <name val="Arial"/>
      <family val="2"/>
    </font>
    <font>
      <sz val="8"/>
      <name val="Arial"/>
      <family val="2"/>
    </font>
    <font>
      <sz val="6"/>
      <name val="Arial"/>
      <family val="2"/>
    </font>
    <font>
      <sz val="4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b/>
      <sz val="8"/>
      <name val="Arial"/>
      <family val="2"/>
    </font>
    <font>
      <b/>
      <sz val="5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8"/>
      <color rgb="FFFF0000"/>
      <name val="Arial"/>
      <family val="2"/>
    </font>
    <font>
      <b/>
      <sz val="8"/>
      <color theme="4" tint="-0.249977111117893"/>
      <name val="Arial"/>
      <family val="2"/>
    </font>
    <font>
      <sz val="10"/>
      <color rgb="FFFF0000"/>
      <name val="Arial"/>
      <family val="2"/>
    </font>
    <font>
      <b/>
      <sz val="7"/>
      <color rgb="FFFF0000"/>
      <name val="Arial"/>
      <family val="2"/>
    </font>
    <font>
      <b/>
      <sz val="7"/>
      <color rgb="FF0070C0"/>
      <name val="Arial"/>
      <family val="2"/>
    </font>
    <font>
      <sz val="8"/>
      <color rgb="FF002060"/>
      <name val="Arial"/>
      <family val="2"/>
    </font>
    <font>
      <sz val="8"/>
      <color theme="1"/>
      <name val="Arial"/>
      <family val="2"/>
    </font>
    <font>
      <sz val="8"/>
      <name val="Century Gothic"/>
      <family val="2"/>
    </font>
    <font>
      <sz val="10"/>
      <color rgb="FF333333"/>
      <name val="Arial"/>
      <family val="2"/>
    </font>
    <font>
      <sz val="8"/>
      <color rgb="FF333333"/>
      <name val="Arial"/>
      <family val="2"/>
    </font>
    <font>
      <sz val="10"/>
      <color rgb="FFC00000"/>
      <name val="Arial"/>
      <family val="2"/>
    </font>
    <font>
      <b/>
      <sz val="5"/>
      <color rgb="FFC00000"/>
      <name val="Arial"/>
      <family val="2"/>
    </font>
    <font>
      <b/>
      <sz val="8"/>
      <color rgb="FFC00000"/>
      <name val="Arial"/>
      <family val="2"/>
    </font>
    <font>
      <b/>
      <sz val="7"/>
      <color rgb="FFC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 diagonalUp="1" diagonalDown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9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0" fillId="0" borderId="5" xfId="0" applyBorder="1"/>
    <xf numFmtId="0" fontId="0" fillId="0" borderId="9" xfId="0" applyBorder="1"/>
    <xf numFmtId="0" fontId="0" fillId="0" borderId="10" xfId="0" applyBorder="1"/>
    <xf numFmtId="0" fontId="0" fillId="0" borderId="0" xfId="0" applyBorder="1"/>
    <xf numFmtId="0" fontId="4" fillId="0" borderId="14" xfId="0" applyFont="1" applyBorder="1"/>
    <xf numFmtId="0" fontId="4" fillId="0" borderId="15" xfId="0" applyFont="1" applyBorder="1"/>
    <xf numFmtId="0" fontId="6" fillId="0" borderId="0" xfId="0" applyFont="1"/>
    <xf numFmtId="0" fontId="0" fillId="0" borderId="3" xfId="0" applyBorder="1"/>
    <xf numFmtId="0" fontId="7" fillId="0" borderId="0" xfId="0" applyFont="1"/>
    <xf numFmtId="0" fontId="12" fillId="0" borderId="11" xfId="0" applyFont="1" applyBorder="1" applyAlignment="1">
      <alignment horizontal="left"/>
    </xf>
    <xf numFmtId="0" fontId="2" fillId="0" borderId="30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0" fillId="0" borderId="31" xfId="0" applyBorder="1"/>
    <xf numFmtId="0" fontId="14" fillId="0" borderId="0" xfId="0" applyFont="1" applyBorder="1"/>
    <xf numFmtId="0" fontId="0" fillId="0" borderId="0" xfId="0"/>
    <xf numFmtId="0" fontId="4" fillId="0" borderId="34" xfId="0" applyFont="1" applyBorder="1"/>
    <xf numFmtId="0" fontId="15" fillId="0" borderId="11" xfId="0" applyFont="1" applyBorder="1" applyAlignment="1">
      <alignment horizontal="center" vertical="center"/>
    </xf>
    <xf numFmtId="1" fontId="8" fillId="2" borderId="23" xfId="0" applyNumberFormat="1" applyFont="1" applyFill="1" applyBorder="1" applyAlignment="1">
      <alignment horizontal="center"/>
    </xf>
    <xf numFmtId="1" fontId="8" fillId="2" borderId="22" xfId="0" applyNumberFormat="1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5" fillId="0" borderId="12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/>
    </xf>
    <xf numFmtId="0" fontId="16" fillId="0" borderId="12" xfId="0" applyFont="1" applyBorder="1" applyAlignment="1">
      <alignment horizontal="center" vertical="center"/>
    </xf>
    <xf numFmtId="0" fontId="0" fillId="0" borderId="0" xfId="0" applyBorder="1" applyAlignment="1"/>
    <xf numFmtId="0" fontId="2" fillId="0" borderId="0" xfId="0" applyFont="1" applyBorder="1"/>
    <xf numFmtId="0" fontId="7" fillId="0" borderId="0" xfId="0" applyFont="1" applyAlignment="1"/>
    <xf numFmtId="0" fontId="0" fillId="0" borderId="0" xfId="0" applyAlignment="1"/>
    <xf numFmtId="0" fontId="0" fillId="0" borderId="0" xfId="0" applyAlignment="1">
      <alignment horizontal="left"/>
    </xf>
    <xf numFmtId="0" fontId="9" fillId="0" borderId="17" xfId="0" applyFont="1" applyFill="1" applyBorder="1" applyAlignment="1" applyProtection="1">
      <alignment horizontal="center"/>
      <protection locked="0"/>
    </xf>
    <xf numFmtId="0" fontId="9" fillId="0" borderId="18" xfId="0" applyFont="1" applyFill="1" applyBorder="1" applyAlignment="1" applyProtection="1">
      <alignment horizontal="center"/>
      <protection locked="0"/>
    </xf>
    <xf numFmtId="1" fontId="8" fillId="0" borderId="18" xfId="0" applyNumberFormat="1" applyFont="1" applyBorder="1" applyAlignment="1" applyProtection="1">
      <alignment horizontal="center"/>
      <protection locked="0"/>
    </xf>
    <xf numFmtId="1" fontId="8" fillId="0" borderId="18" xfId="0" applyNumberFormat="1" applyFont="1" applyFill="1" applyBorder="1" applyAlignment="1" applyProtection="1">
      <alignment horizontal="center"/>
      <protection locked="0"/>
    </xf>
    <xf numFmtId="0" fontId="9" fillId="0" borderId="19" xfId="0" applyFont="1" applyFill="1" applyBorder="1" applyAlignment="1" applyProtection="1">
      <alignment horizontal="center"/>
      <protection locked="0"/>
    </xf>
    <xf numFmtId="0" fontId="9" fillId="0" borderId="20" xfId="0" applyFont="1" applyFill="1" applyBorder="1" applyAlignment="1" applyProtection="1">
      <alignment horizontal="center"/>
      <protection locked="0"/>
    </xf>
    <xf numFmtId="1" fontId="8" fillId="0" borderId="20" xfId="0" applyNumberFormat="1" applyFont="1" applyBorder="1" applyAlignment="1" applyProtection="1">
      <alignment horizontal="center"/>
      <protection locked="0"/>
    </xf>
    <xf numFmtId="1" fontId="8" fillId="0" borderId="20" xfId="0" applyNumberFormat="1" applyFont="1" applyFill="1" applyBorder="1" applyAlignment="1" applyProtection="1">
      <alignment horizontal="center"/>
      <protection locked="0"/>
    </xf>
    <xf numFmtId="1" fontId="9" fillId="0" borderId="17" xfId="0" applyNumberFormat="1" applyFont="1" applyFill="1" applyBorder="1" applyAlignment="1" applyProtection="1">
      <alignment horizontal="center"/>
      <protection locked="0"/>
    </xf>
    <xf numFmtId="1" fontId="9" fillId="0" borderId="18" xfId="0" applyNumberFormat="1" applyFont="1" applyFill="1" applyBorder="1" applyAlignment="1" applyProtection="1">
      <alignment horizontal="center"/>
      <protection locked="0"/>
    </xf>
    <xf numFmtId="1" fontId="9" fillId="0" borderId="19" xfId="0" applyNumberFormat="1" applyFont="1" applyFill="1" applyBorder="1" applyAlignment="1" applyProtection="1">
      <alignment horizontal="center"/>
      <protection locked="0"/>
    </xf>
    <xf numFmtId="1" fontId="9" fillId="0" borderId="20" xfId="0" applyNumberFormat="1" applyFont="1" applyFill="1" applyBorder="1" applyAlignment="1" applyProtection="1">
      <alignment horizontal="center"/>
      <protection locked="0"/>
    </xf>
    <xf numFmtId="1" fontId="9" fillId="0" borderId="24" xfId="0" applyNumberFormat="1" applyFont="1" applyBorder="1" applyAlignment="1" applyProtection="1">
      <alignment horizontal="center"/>
      <protection locked="0"/>
    </xf>
    <xf numFmtId="1" fontId="9" fillId="0" borderId="18" xfId="0" applyNumberFormat="1" applyFont="1" applyBorder="1" applyAlignment="1" applyProtection="1">
      <alignment horizontal="center"/>
      <protection locked="0"/>
    </xf>
    <xf numFmtId="1" fontId="9" fillId="0" borderId="21" xfId="0" applyNumberFormat="1" applyFont="1" applyBorder="1" applyAlignment="1" applyProtection="1">
      <alignment horizontal="center"/>
      <protection locked="0"/>
    </xf>
    <xf numFmtId="1" fontId="9" fillId="0" borderId="20" xfId="0" applyNumberFormat="1" applyFont="1" applyBorder="1" applyAlignment="1" applyProtection="1">
      <alignment horizontal="center"/>
      <protection locked="0"/>
    </xf>
    <xf numFmtId="1" fontId="8" fillId="0" borderId="18" xfId="0" applyNumberFormat="1" applyFont="1" applyBorder="1" applyProtection="1">
      <protection locked="0"/>
    </xf>
    <xf numFmtId="1" fontId="8" fillId="0" borderId="20" xfId="0" applyNumberFormat="1" applyFont="1" applyBorder="1" applyProtection="1">
      <protection locked="0"/>
    </xf>
    <xf numFmtId="1" fontId="9" fillId="0" borderId="24" xfId="0" applyNumberFormat="1" applyFont="1" applyFill="1" applyBorder="1" applyAlignment="1" applyProtection="1">
      <alignment horizontal="center"/>
      <protection locked="0"/>
    </xf>
    <xf numFmtId="1" fontId="9" fillId="0" borderId="21" xfId="0" applyNumberFormat="1" applyFont="1" applyFill="1" applyBorder="1" applyAlignment="1" applyProtection="1">
      <alignment horizontal="center"/>
      <protection locked="0"/>
    </xf>
    <xf numFmtId="1" fontId="8" fillId="0" borderId="36" xfId="0" applyNumberFormat="1" applyFont="1" applyFill="1" applyBorder="1" applyAlignment="1" applyProtection="1">
      <alignment horizontal="center"/>
      <protection locked="0"/>
    </xf>
    <xf numFmtId="0" fontId="8" fillId="3" borderId="36" xfId="0" applyFont="1" applyFill="1" applyBorder="1" applyAlignment="1">
      <alignment horizontal="center"/>
    </xf>
    <xf numFmtId="0" fontId="8" fillId="3" borderId="20" xfId="0" applyFont="1" applyFill="1" applyBorder="1" applyAlignment="1">
      <alignment horizontal="center"/>
    </xf>
    <xf numFmtId="0" fontId="12" fillId="3" borderId="20" xfId="0" applyFont="1" applyFill="1" applyBorder="1" applyAlignment="1">
      <alignment horizontal="center"/>
    </xf>
    <xf numFmtId="0" fontId="8" fillId="3" borderId="35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0" xfId="0" applyAlignment="1">
      <alignment horizontal="center"/>
    </xf>
    <xf numFmtId="0" fontId="19" fillId="0" borderId="21" xfId="0" applyFont="1" applyBorder="1" applyAlignment="1">
      <alignment horizontal="center" vertical="top" wrapText="1"/>
    </xf>
    <xf numFmtId="1" fontId="8" fillId="2" borderId="39" xfId="0" applyNumberFormat="1" applyFont="1" applyFill="1" applyBorder="1" applyAlignment="1">
      <alignment horizontal="center"/>
    </xf>
    <xf numFmtId="1" fontId="9" fillId="0" borderId="38" xfId="0" applyNumberFormat="1" applyFont="1" applyFill="1" applyBorder="1" applyAlignment="1" applyProtection="1">
      <alignment horizontal="center"/>
      <protection locked="0"/>
    </xf>
    <xf numFmtId="1" fontId="9" fillId="0" borderId="35" xfId="0" applyNumberFormat="1" applyFont="1" applyFill="1" applyBorder="1" applyAlignment="1" applyProtection="1">
      <alignment horizontal="center"/>
      <protection locked="0"/>
    </xf>
    <xf numFmtId="1" fontId="8" fillId="0" borderId="35" xfId="0" applyNumberFormat="1" applyFont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vertical="center"/>
    </xf>
    <xf numFmtId="0" fontId="19" fillId="5" borderId="21" xfId="0" applyFont="1" applyFill="1" applyBorder="1" applyAlignment="1">
      <alignment horizontal="center" vertical="top" wrapText="1"/>
    </xf>
    <xf numFmtId="0" fontId="8" fillId="5" borderId="40" xfId="0" applyFont="1" applyFill="1" applyBorder="1" applyAlignment="1">
      <alignment horizontal="center"/>
    </xf>
    <xf numFmtId="0" fontId="0" fillId="0" borderId="0" xfId="0" applyAlignment="1"/>
    <xf numFmtId="1" fontId="8" fillId="0" borderId="41" xfId="0" applyNumberFormat="1" applyFont="1" applyBorder="1" applyAlignment="1" applyProtection="1">
      <alignment horizontal="center"/>
      <protection locked="0"/>
    </xf>
    <xf numFmtId="0" fontId="8" fillId="3" borderId="4" xfId="0" applyFont="1" applyFill="1" applyBorder="1" applyAlignment="1">
      <alignment horizontal="center"/>
    </xf>
    <xf numFmtId="1" fontId="8" fillId="2" borderId="42" xfId="0" applyNumberFormat="1" applyFont="1" applyFill="1" applyBorder="1" applyAlignment="1">
      <alignment horizontal="center"/>
    </xf>
    <xf numFmtId="1" fontId="8" fillId="2" borderId="37" xfId="0" applyNumberFormat="1" applyFont="1" applyFill="1" applyBorder="1" applyAlignment="1">
      <alignment horizontal="center"/>
    </xf>
    <xf numFmtId="0" fontId="8" fillId="3" borderId="41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1" fontId="8" fillId="0" borderId="41" xfId="0" applyNumberFormat="1" applyFont="1" applyFill="1" applyBorder="1" applyAlignment="1" applyProtection="1">
      <alignment horizontal="center"/>
      <protection locked="0"/>
    </xf>
    <xf numFmtId="0" fontId="8" fillId="3" borderId="44" xfId="0" applyFont="1" applyFill="1" applyBorder="1" applyAlignment="1">
      <alignment horizontal="center"/>
    </xf>
    <xf numFmtId="1" fontId="8" fillId="0" borderId="21" xfId="0" applyNumberFormat="1" applyFont="1" applyFill="1" applyBorder="1" applyAlignment="1" applyProtection="1">
      <alignment horizontal="center"/>
      <protection locked="0"/>
    </xf>
    <xf numFmtId="1" fontId="8" fillId="0" borderId="4" xfId="0" applyNumberFormat="1" applyFont="1" applyBorder="1" applyProtection="1">
      <protection locked="0"/>
    </xf>
    <xf numFmtId="1" fontId="8" fillId="0" borderId="4" xfId="0" applyNumberFormat="1" applyFont="1" applyFill="1" applyBorder="1" applyAlignment="1" applyProtection="1">
      <alignment horizontal="center"/>
      <protection locked="0"/>
    </xf>
    <xf numFmtId="1" fontId="8" fillId="0" borderId="36" xfId="0" applyNumberFormat="1" applyFont="1" applyBorder="1" applyProtection="1">
      <protection locked="0"/>
    </xf>
    <xf numFmtId="0" fontId="3" fillId="0" borderId="31" xfId="0" applyFont="1" applyBorder="1" applyAlignment="1">
      <alignment horizontal="center"/>
    </xf>
    <xf numFmtId="0" fontId="2" fillId="0" borderId="47" xfId="0" applyFont="1" applyBorder="1" applyAlignment="1">
      <alignment horizontal="center"/>
    </xf>
    <xf numFmtId="0" fontId="0" fillId="0" borderId="6" xfId="0" applyBorder="1"/>
    <xf numFmtId="1" fontId="8" fillId="2" borderId="46" xfId="0" applyNumberFormat="1" applyFont="1" applyFill="1" applyBorder="1" applyAlignment="1">
      <alignment horizontal="center"/>
    </xf>
    <xf numFmtId="0" fontId="9" fillId="0" borderId="38" xfId="0" applyFont="1" applyFill="1" applyBorder="1" applyAlignment="1" applyProtection="1">
      <alignment horizontal="center"/>
      <protection locked="0"/>
    </xf>
    <xf numFmtId="0" fontId="9" fillId="0" borderId="35" xfId="0" applyFont="1" applyFill="1" applyBorder="1" applyAlignment="1" applyProtection="1">
      <alignment horizontal="center"/>
      <protection locked="0"/>
    </xf>
    <xf numFmtId="1" fontId="8" fillId="0" borderId="35" xfId="0" applyNumberFormat="1" applyFont="1" applyFill="1" applyBorder="1" applyAlignment="1" applyProtection="1">
      <alignment horizontal="center"/>
      <protection locked="0"/>
    </xf>
    <xf numFmtId="1" fontId="9" fillId="0" borderId="45" xfId="0" applyNumberFormat="1" applyFont="1" applyFill="1" applyBorder="1" applyAlignment="1" applyProtection="1">
      <alignment horizontal="center"/>
      <protection locked="0"/>
    </xf>
    <xf numFmtId="0" fontId="19" fillId="0" borderId="45" xfId="0" applyFont="1" applyBorder="1" applyAlignment="1">
      <alignment horizontal="center" vertical="top" wrapText="1"/>
    </xf>
    <xf numFmtId="1" fontId="8" fillId="0" borderId="50" xfId="0" applyNumberFormat="1" applyFont="1" applyBorder="1" applyAlignment="1" applyProtection="1">
      <alignment horizontal="center"/>
      <protection locked="0"/>
    </xf>
    <xf numFmtId="1" fontId="9" fillId="0" borderId="45" xfId="0" applyNumberFormat="1" applyFont="1" applyBorder="1" applyAlignment="1" applyProtection="1">
      <alignment horizontal="center"/>
      <protection locked="0"/>
    </xf>
    <xf numFmtId="1" fontId="9" fillId="0" borderId="35" xfId="0" applyNumberFormat="1" applyFont="1" applyBorder="1" applyAlignment="1" applyProtection="1">
      <alignment horizontal="center"/>
      <protection locked="0"/>
    </xf>
    <xf numFmtId="1" fontId="8" fillId="0" borderId="35" xfId="0" applyNumberFormat="1" applyFont="1" applyBorder="1" applyProtection="1">
      <protection locked="0"/>
    </xf>
    <xf numFmtId="0" fontId="15" fillId="0" borderId="51" xfId="0" applyFont="1" applyBorder="1" applyAlignment="1">
      <alignment horizontal="center" vertical="center"/>
    </xf>
    <xf numFmtId="0" fontId="19" fillId="0" borderId="52" xfId="0" applyFont="1" applyFill="1" applyBorder="1" applyAlignment="1">
      <alignment vertical="top" wrapText="1"/>
    </xf>
    <xf numFmtId="0" fontId="19" fillId="0" borderId="11" xfId="0" applyFont="1" applyFill="1" applyBorder="1" applyAlignment="1">
      <alignment vertical="top"/>
    </xf>
    <xf numFmtId="0" fontId="19" fillId="0" borderId="11" xfId="0" applyFont="1" applyFill="1" applyBorder="1" applyAlignment="1">
      <alignment vertical="top" wrapText="1"/>
    </xf>
    <xf numFmtId="0" fontId="21" fillId="0" borderId="11" xfId="0" applyFont="1" applyBorder="1"/>
    <xf numFmtId="0" fontId="19" fillId="0" borderId="51" xfId="0" applyFont="1" applyFill="1" applyBorder="1" applyAlignment="1">
      <alignment vertical="top" wrapText="1"/>
    </xf>
    <xf numFmtId="0" fontId="11" fillId="0" borderId="16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20" fillId="0" borderId="53" xfId="0" applyFont="1" applyBorder="1" applyAlignment="1">
      <alignment horizontal="center" vertical="center" wrapText="1"/>
    </xf>
    <xf numFmtId="0" fontId="20" fillId="0" borderId="43" xfId="0" applyFont="1" applyBorder="1" applyAlignment="1">
      <alignment horizontal="center" vertical="center" wrapText="1"/>
    </xf>
    <xf numFmtId="0" fontId="20" fillId="0" borderId="54" xfId="0" applyFont="1" applyBorder="1" applyAlignment="1">
      <alignment horizontal="center" vertical="center" wrapText="1"/>
    </xf>
    <xf numFmtId="0" fontId="11" fillId="0" borderId="49" xfId="0" applyFont="1" applyBorder="1" applyAlignment="1">
      <alignment horizontal="center"/>
    </xf>
    <xf numFmtId="0" fontId="11" fillId="0" borderId="6" xfId="0" applyFont="1" applyBorder="1"/>
    <xf numFmtId="0" fontId="10" fillId="0" borderId="37" xfId="0" applyFont="1" applyBorder="1"/>
    <xf numFmtId="0" fontId="10" fillId="0" borderId="22" xfId="0" applyFont="1" applyBorder="1"/>
    <xf numFmtId="0" fontId="10" fillId="0" borderId="22" xfId="0" applyFont="1" applyFill="1" applyBorder="1"/>
    <xf numFmtId="0" fontId="10" fillId="0" borderId="39" xfId="0" applyFont="1" applyBorder="1"/>
    <xf numFmtId="0" fontId="19" fillId="5" borderId="11" xfId="0" applyFont="1" applyFill="1" applyBorder="1" applyAlignment="1">
      <alignment vertical="top" wrapText="1"/>
    </xf>
    <xf numFmtId="0" fontId="0" fillId="0" borderId="0" xfId="0" applyAlignment="1"/>
    <xf numFmtId="1" fontId="8" fillId="2" borderId="20" xfId="0" applyNumberFormat="1" applyFont="1" applyFill="1" applyBorder="1" applyAlignment="1">
      <alignment horizontal="center"/>
    </xf>
    <xf numFmtId="1" fontId="8" fillId="2" borderId="29" xfId="0" applyNumberFormat="1" applyFont="1" applyFill="1" applyBorder="1" applyAlignment="1">
      <alignment horizontal="center"/>
    </xf>
    <xf numFmtId="0" fontId="25" fillId="3" borderId="12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left"/>
    </xf>
    <xf numFmtId="0" fontId="22" fillId="3" borderId="0" xfId="0" applyFont="1" applyFill="1"/>
    <xf numFmtId="0" fontId="23" fillId="5" borderId="19" xfId="0" applyFont="1" applyFill="1" applyBorder="1" applyAlignment="1" applyProtection="1">
      <alignment horizontal="center"/>
      <protection locked="0"/>
    </xf>
    <xf numFmtId="0" fontId="23" fillId="5" borderId="20" xfId="0" applyFont="1" applyFill="1" applyBorder="1" applyAlignment="1" applyProtection="1">
      <alignment horizontal="center"/>
      <protection locked="0"/>
    </xf>
    <xf numFmtId="1" fontId="24" fillId="5" borderId="20" xfId="0" applyNumberFormat="1" applyFont="1" applyFill="1" applyBorder="1" applyAlignment="1" applyProtection="1">
      <alignment horizontal="center"/>
      <protection locked="0"/>
    </xf>
    <xf numFmtId="1" fontId="8" fillId="5" borderId="48" xfId="0" applyNumberFormat="1" applyFont="1" applyFill="1" applyBorder="1" applyAlignment="1">
      <alignment horizontal="center"/>
    </xf>
    <xf numFmtId="1" fontId="23" fillId="5" borderId="19" xfId="0" applyNumberFormat="1" applyFont="1" applyFill="1" applyBorder="1" applyAlignment="1" applyProtection="1">
      <alignment horizontal="center"/>
      <protection locked="0"/>
    </xf>
    <xf numFmtId="1" fontId="23" fillId="5" borderId="20" xfId="0" applyNumberFormat="1" applyFont="1" applyFill="1" applyBorder="1" applyAlignment="1" applyProtection="1">
      <alignment horizontal="center"/>
      <protection locked="0"/>
    </xf>
    <xf numFmtId="1" fontId="23" fillId="5" borderId="21" xfId="0" applyNumberFormat="1" applyFont="1" applyFill="1" applyBorder="1" applyAlignment="1" applyProtection="1">
      <alignment horizontal="center"/>
      <protection locked="0"/>
    </xf>
    <xf numFmtId="1" fontId="24" fillId="5" borderId="41" xfId="0" applyNumberFormat="1" applyFont="1" applyFill="1" applyBorder="1" applyAlignment="1" applyProtection="1">
      <alignment horizontal="center"/>
      <protection locked="0"/>
    </xf>
    <xf numFmtId="0" fontId="22" fillId="5" borderId="0" xfId="0" applyFont="1" applyFill="1"/>
    <xf numFmtId="0" fontId="10" fillId="5" borderId="22" xfId="0" applyFont="1" applyFill="1" applyBorder="1"/>
    <xf numFmtId="0" fontId="7" fillId="5" borderId="43" xfId="0" applyFont="1" applyFill="1" applyBorder="1" applyAlignment="1">
      <alignment horizontal="center" vertical="center" wrapText="1"/>
    </xf>
    <xf numFmtId="0" fontId="3" fillId="4" borderId="27" xfId="0" applyFont="1" applyFill="1" applyBorder="1" applyAlignment="1">
      <alignment horizontal="center"/>
    </xf>
    <xf numFmtId="0" fontId="3" fillId="4" borderId="16" xfId="0" applyFont="1" applyFill="1" applyBorder="1" applyAlignment="1">
      <alignment horizontal="center"/>
    </xf>
    <xf numFmtId="0" fontId="3" fillId="4" borderId="26" xfId="0" applyFont="1" applyFill="1" applyBorder="1" applyAlignment="1">
      <alignment horizontal="center"/>
    </xf>
    <xf numFmtId="0" fontId="11" fillId="0" borderId="52" xfId="0" applyFont="1" applyBorder="1" applyAlignment="1">
      <alignment horizontal="center"/>
    </xf>
    <xf numFmtId="0" fontId="11" fillId="0" borderId="51" xfId="0" applyFont="1" applyBorder="1" applyAlignment="1">
      <alignment horizontal="center"/>
    </xf>
    <xf numFmtId="0" fontId="2" fillId="0" borderId="8" xfId="0" applyFont="1" applyBorder="1" applyAlignment="1">
      <alignment horizontal="center" textRotation="90"/>
    </xf>
    <xf numFmtId="0" fontId="0" fillId="0" borderId="10" xfId="0" applyBorder="1"/>
    <xf numFmtId="0" fontId="5" fillId="0" borderId="16" xfId="0" applyFont="1" applyBorder="1" applyAlignment="1">
      <alignment horizontal="center" textRotation="91"/>
    </xf>
    <xf numFmtId="0" fontId="5" fillId="0" borderId="14" xfId="0" applyFont="1" applyBorder="1" applyAlignment="1">
      <alignment horizontal="center" textRotation="91"/>
    </xf>
    <xf numFmtId="0" fontId="2" fillId="0" borderId="13" xfId="0" applyFont="1" applyBorder="1" applyAlignment="1">
      <alignment horizontal="center" textRotation="90"/>
    </xf>
    <xf numFmtId="0" fontId="2" fillId="0" borderId="32" xfId="0" applyFont="1" applyBorder="1" applyAlignment="1">
      <alignment horizontal="center" textRotation="90"/>
    </xf>
    <xf numFmtId="0" fontId="7" fillId="0" borderId="0" xfId="0" applyFont="1"/>
    <xf numFmtId="0" fontId="0" fillId="0" borderId="0" xfId="0"/>
    <xf numFmtId="0" fontId="3" fillId="4" borderId="1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 textRotation="90"/>
    </xf>
    <xf numFmtId="0" fontId="2" fillId="2" borderId="33" xfId="0" applyFont="1" applyFill="1" applyBorder="1" applyAlignment="1">
      <alignment horizontal="center" textRotation="90"/>
    </xf>
    <xf numFmtId="0" fontId="5" fillId="0" borderId="27" xfId="0" applyFont="1" applyBorder="1" applyAlignment="1">
      <alignment horizontal="center" textRotation="91"/>
    </xf>
    <xf numFmtId="0" fontId="18" fillId="4" borderId="27" xfId="0" applyFont="1" applyFill="1" applyBorder="1" applyAlignment="1">
      <alignment horizontal="center"/>
    </xf>
    <xf numFmtId="0" fontId="18" fillId="4" borderId="16" xfId="0" applyFont="1" applyFill="1" applyBorder="1" applyAlignment="1">
      <alignment horizontal="center"/>
    </xf>
    <xf numFmtId="0" fontId="18" fillId="4" borderId="26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 textRotation="90"/>
    </xf>
    <xf numFmtId="0" fontId="2" fillId="2" borderId="29" xfId="0" applyFont="1" applyFill="1" applyBorder="1" applyAlignment="1">
      <alignment horizontal="center" textRotation="90"/>
    </xf>
    <xf numFmtId="0" fontId="2" fillId="2" borderId="37" xfId="0" applyFont="1" applyFill="1" applyBorder="1" applyAlignment="1">
      <alignment horizontal="center" textRotation="90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17" fillId="0" borderId="3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Border="1" applyAlignment="1">
      <alignment horizontal="center"/>
    </xf>
  </cellXfs>
  <cellStyles count="1">
    <cellStyle name="Normal" xfId="0" builtinId="0"/>
  </cellStyles>
  <dxfs count="427"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lor rgb="FF0000FF"/>
      </font>
    </dxf>
    <dxf>
      <font>
        <color rgb="FF7030A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lor rgb="FF0000FF"/>
      </font>
    </dxf>
    <dxf>
      <font>
        <color rgb="FF7030A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lor rgb="FF0000FF"/>
      </font>
    </dxf>
    <dxf>
      <font>
        <color rgb="FF7030A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lor rgb="FF0000FF"/>
      </font>
    </dxf>
    <dxf>
      <font>
        <color rgb="FF7030A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lor rgb="FF0000FF"/>
      </font>
    </dxf>
    <dxf>
      <font>
        <color rgb="FF7030A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lor rgb="FF0000FF"/>
      </font>
    </dxf>
    <dxf>
      <font>
        <color rgb="FF7030A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lor rgb="FF0000FF"/>
      </font>
    </dxf>
    <dxf>
      <font>
        <color rgb="FF7030A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lor rgb="FF0000FF"/>
      </font>
    </dxf>
    <dxf>
      <font>
        <color rgb="FF7030A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lor rgb="FF0000FF"/>
      </font>
    </dxf>
    <dxf>
      <font>
        <color rgb="FF7030A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lor rgb="FF0000FF"/>
      </font>
    </dxf>
    <dxf>
      <font>
        <color rgb="FF7030A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lor rgb="FF0000FF"/>
      </font>
    </dxf>
    <dxf>
      <font>
        <color rgb="FF7030A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lor rgb="FF0000FF"/>
      </font>
    </dxf>
    <dxf>
      <font>
        <color rgb="FF7030A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lor rgb="FF7030A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rgb="FFFF0000"/>
      </font>
    </dxf>
    <dxf>
      <font>
        <condense val="0"/>
        <extend val="0"/>
        <color rgb="FF0000FF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224118</xdr:colOff>
      <xdr:row>0</xdr:row>
      <xdr:rowOff>1</xdr:rowOff>
    </xdr:from>
    <xdr:to>
      <xdr:col>43</xdr:col>
      <xdr:colOff>157443</xdr:colOff>
      <xdr:row>4</xdr:row>
      <xdr:rowOff>133071</xdr:rowOff>
    </xdr:to>
    <xdr:pic>
      <xdr:nvPicPr>
        <xdr:cNvPr id="2" name="Imagem 1" descr="nova_vida_alterado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5568" y="1"/>
          <a:ext cx="733425" cy="78077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1</xdr:col>
      <xdr:colOff>628650</xdr:colOff>
      <xdr:row>41</xdr:row>
      <xdr:rowOff>76200</xdr:rowOff>
    </xdr:from>
    <xdr:ext cx="0" cy="914400"/>
    <xdr:pic>
      <xdr:nvPicPr>
        <xdr:cNvPr id="7" name="Imagem 6" descr="C:\Users\Ahm@d N'landu\Desktop\IMPNV  2037\Logotipo do IMPNV - 2037.png">
          <a:extLst>
            <a:ext uri="{FF2B5EF4-FFF2-40B4-BE49-F238E27FC236}">
              <a16:creationId xmlns="" xmlns:a16="http://schemas.microsoft.com/office/drawing/2014/main" id="{3566D971-9F32-4777-83C0-2EE7CA474EA5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" y="7334250"/>
          <a:ext cx="0" cy="914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63"/>
  <sheetViews>
    <sheetView tabSelected="1" zoomScaleNormal="100" zoomScaleSheetLayoutView="130" workbookViewId="0">
      <selection activeCell="D17" sqref="D17:D50"/>
    </sheetView>
  </sheetViews>
  <sheetFormatPr defaultColWidth="0" defaultRowHeight="0" customHeight="1" zeroHeight="1" x14ac:dyDescent="0.2"/>
  <cols>
    <col min="1" max="1" width="4.28515625" style="21" customWidth="1"/>
    <col min="2" max="2" width="7" style="21" customWidth="1"/>
    <col min="3" max="3" width="37.42578125" style="21" customWidth="1"/>
    <col min="4" max="4" width="3.28515625" style="21" customWidth="1"/>
    <col min="5" max="5" width="1.5703125" style="21" customWidth="1"/>
    <col min="6" max="6" width="1.42578125" style="21" customWidth="1"/>
    <col min="7" max="7" width="0.42578125" style="21" hidden="1" customWidth="1"/>
    <col min="8" max="8" width="2.5703125" style="21" customWidth="1"/>
    <col min="9" max="10" width="2.7109375" style="21" customWidth="1"/>
    <col min="11" max="11" width="2.5703125" style="21" customWidth="1"/>
    <col min="12" max="12" width="2" style="21" customWidth="1"/>
    <col min="13" max="13" width="1.42578125" style="21" customWidth="1"/>
    <col min="14" max="14" width="2.7109375" style="21" hidden="1" customWidth="1"/>
    <col min="15" max="18" width="2.42578125" style="21" customWidth="1"/>
    <col min="19" max="20" width="1.7109375" style="21" customWidth="1"/>
    <col min="21" max="21" width="2.7109375" style="21" hidden="1" customWidth="1"/>
    <col min="22" max="23" width="2.7109375" style="21" customWidth="1"/>
    <col min="24" max="25" width="2.5703125" style="21" customWidth="1"/>
    <col min="26" max="26" width="1.7109375" style="21" customWidth="1"/>
    <col min="27" max="27" width="1.42578125" style="21" customWidth="1"/>
    <col min="28" max="28" width="2.7109375" style="21" hidden="1" customWidth="1"/>
    <col min="29" max="31" width="2.7109375" style="21" customWidth="1"/>
    <col min="32" max="32" width="2.5703125" style="21" customWidth="1"/>
    <col min="33" max="34" width="1.5703125" style="21" customWidth="1"/>
    <col min="35" max="35" width="2.7109375" style="21" hidden="1" customWidth="1"/>
    <col min="36" max="38" width="2.7109375" style="21" customWidth="1"/>
    <col min="39" max="39" width="2.42578125" style="21" customWidth="1"/>
    <col min="40" max="41" width="1.5703125" style="21" customWidth="1"/>
    <col min="42" max="42" width="2.7109375" style="21" customWidth="1"/>
    <col min="43" max="44" width="2.7109375" style="9" customWidth="1"/>
    <col min="45" max="45" width="2.42578125" style="9" customWidth="1"/>
    <col min="46" max="46" width="2.5703125" style="21" customWidth="1"/>
    <col min="47" max="47" width="1.5703125" style="21" customWidth="1"/>
    <col min="48" max="48" width="3.140625" style="21" customWidth="1"/>
    <col min="49" max="50" width="2.7109375" style="21" customWidth="1"/>
    <col min="51" max="51" width="2.5703125" style="21" customWidth="1"/>
    <col min="52" max="52" width="1.7109375" style="21" customWidth="1"/>
    <col min="53" max="53" width="1.42578125" style="21" customWidth="1"/>
    <col min="54" max="54" width="2.28515625" style="21" hidden="1" customWidth="1"/>
    <col min="55" max="57" width="2.7109375" style="21" customWidth="1"/>
    <col min="58" max="58" width="2.42578125" style="21" customWidth="1"/>
    <col min="59" max="59" width="1.5703125" style="21" customWidth="1"/>
    <col min="60" max="60" width="1.42578125" style="21" customWidth="1"/>
    <col min="61" max="61" width="2.28515625" style="21" hidden="1" customWidth="1"/>
    <col min="62" max="62" width="2.42578125" style="21" customWidth="1"/>
    <col min="63" max="65" width="2.7109375" style="21" customWidth="1"/>
    <col min="66" max="67" width="1.7109375" style="21" customWidth="1"/>
    <col min="68" max="68" width="2.42578125" style="21" customWidth="1"/>
    <col min="69" max="71" width="2.5703125" style="21" customWidth="1"/>
    <col min="72" max="73" width="1.7109375" style="21" customWidth="1"/>
    <col min="74" max="74" width="2.7109375" style="21" hidden="1" customWidth="1"/>
    <col min="75" max="76" width="2.7109375" style="21" customWidth="1"/>
    <col min="77" max="77" width="3.140625" style="21" customWidth="1"/>
    <col min="78" max="78" width="2.5703125" style="21" customWidth="1"/>
    <col min="79" max="80" width="1.7109375" style="21" customWidth="1"/>
    <col min="81" max="81" width="2.7109375" style="21" hidden="1" customWidth="1"/>
    <col min="82" max="83" width="2.7109375" style="21" customWidth="1"/>
    <col min="84" max="84" width="3.140625" style="21" customWidth="1"/>
    <col min="85" max="85" width="2.42578125" style="21" customWidth="1"/>
    <col min="86" max="86" width="7.5703125" style="21" bestFit="1" customWidth="1"/>
    <col min="87" max="87" width="10.85546875" style="21" customWidth="1"/>
    <col min="88" max="88" width="9.140625" style="21" customWidth="1"/>
    <col min="89" max="121" width="0" style="21" hidden="1" customWidth="1"/>
    <col min="122" max="16384" width="9.140625" style="21" hidden="1"/>
  </cols>
  <sheetData>
    <row r="1" spans="1:87" ht="12.75" x14ac:dyDescent="0.2"/>
    <row r="2" spans="1:87" ht="12.75" x14ac:dyDescent="0.2"/>
    <row r="3" spans="1:87" ht="12.75" x14ac:dyDescent="0.2"/>
    <row r="4" spans="1:87" ht="12.75" x14ac:dyDescent="0.2"/>
    <row r="5" spans="1:87" ht="17.25" customHeight="1" x14ac:dyDescent="0.2">
      <c r="C5" s="61" t="s">
        <v>0</v>
      </c>
      <c r="D5" s="61"/>
      <c r="X5" s="157" t="s">
        <v>31</v>
      </c>
      <c r="Y5" s="157"/>
      <c r="Z5" s="157"/>
      <c r="AA5" s="157"/>
      <c r="AB5" s="157"/>
      <c r="AC5" s="157"/>
      <c r="AD5" s="157"/>
      <c r="AE5" s="157"/>
      <c r="AF5" s="157"/>
      <c r="AG5" s="157"/>
      <c r="AH5" s="157"/>
      <c r="AI5" s="157"/>
      <c r="AJ5" s="157"/>
      <c r="AK5" s="157"/>
      <c r="AL5" s="157"/>
      <c r="AM5" s="157"/>
      <c r="AN5" s="157"/>
      <c r="AO5" s="157"/>
      <c r="AP5" s="157"/>
      <c r="AQ5" s="157"/>
      <c r="AR5" s="157"/>
      <c r="AS5" s="157"/>
      <c r="AT5" s="157"/>
      <c r="AU5" s="157"/>
      <c r="AV5" s="157"/>
      <c r="AW5" s="157"/>
      <c r="AX5" s="157"/>
      <c r="AY5" s="157"/>
      <c r="AZ5" s="157"/>
      <c r="BA5" s="157"/>
      <c r="BB5" s="157"/>
      <c r="BC5" s="157"/>
      <c r="BD5" s="157"/>
      <c r="BE5" s="157"/>
    </row>
    <row r="6" spans="1:87" ht="17.25" customHeight="1" x14ac:dyDescent="0.2">
      <c r="C6" s="61" t="s">
        <v>1</v>
      </c>
      <c r="D6" s="61"/>
      <c r="E6" s="33"/>
      <c r="F6" s="33"/>
      <c r="G6" s="33"/>
      <c r="H6" s="33"/>
      <c r="I6" s="14" t="s">
        <v>32</v>
      </c>
      <c r="J6" s="33"/>
      <c r="L6" s="33"/>
      <c r="M6" s="68" t="s">
        <v>57</v>
      </c>
      <c r="N6" s="68"/>
      <c r="O6" s="68"/>
      <c r="P6" s="68"/>
      <c r="Q6" s="68"/>
      <c r="R6" s="68"/>
      <c r="T6" s="33"/>
      <c r="U6" s="33"/>
      <c r="V6" s="33"/>
      <c r="W6" s="33"/>
      <c r="X6" s="157" t="s">
        <v>66</v>
      </c>
      <c r="Y6" s="157"/>
      <c r="Z6" s="157"/>
      <c r="AA6" s="157"/>
      <c r="AB6" s="157"/>
      <c r="AC6" s="157"/>
      <c r="AD6" s="157"/>
      <c r="AE6" s="157"/>
      <c r="AF6" s="157"/>
      <c r="AG6" s="157"/>
      <c r="AH6" s="157"/>
      <c r="AI6" s="157"/>
      <c r="AJ6" s="157"/>
      <c r="AK6" s="157"/>
      <c r="AL6" s="157"/>
      <c r="AM6" s="157"/>
      <c r="AN6" s="157"/>
      <c r="AO6" s="157"/>
      <c r="AP6" s="157"/>
      <c r="AQ6" s="157"/>
      <c r="AR6" s="157"/>
      <c r="AS6" s="157"/>
      <c r="AT6" s="157"/>
      <c r="AU6" s="157"/>
      <c r="AV6" s="157"/>
      <c r="AW6" s="157"/>
      <c r="AX6" s="157"/>
      <c r="AY6" s="157"/>
      <c r="AZ6" s="157"/>
      <c r="BA6" s="157"/>
      <c r="BB6" s="157"/>
      <c r="BC6" s="157"/>
      <c r="BD6" s="157"/>
      <c r="BE6" s="157"/>
      <c r="BF6" s="72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</row>
    <row r="7" spans="1:87" ht="17.25" customHeight="1" x14ac:dyDescent="0.2">
      <c r="C7" s="67" t="s">
        <v>58</v>
      </c>
      <c r="I7" s="14"/>
      <c r="J7" s="33"/>
      <c r="L7" s="33"/>
      <c r="M7" s="33"/>
      <c r="N7" s="33"/>
      <c r="O7" s="33"/>
      <c r="P7" s="33"/>
      <c r="Q7" s="33"/>
      <c r="S7" s="33"/>
      <c r="T7" s="33"/>
      <c r="U7" s="33"/>
      <c r="V7" s="33"/>
      <c r="Y7" s="32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0"/>
      <c r="AR7" s="30"/>
      <c r="AS7" s="30"/>
      <c r="AT7" s="33"/>
      <c r="AU7" s="33"/>
      <c r="AV7" s="33"/>
      <c r="AW7" s="33"/>
      <c r="AX7" s="33"/>
      <c r="AY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</row>
    <row r="8" spans="1:87" ht="17.25" customHeight="1" x14ac:dyDescent="0.2">
      <c r="C8" s="61" t="s">
        <v>11</v>
      </c>
      <c r="D8" s="61"/>
      <c r="E8" s="33"/>
      <c r="F8" s="32" t="s">
        <v>37</v>
      </c>
      <c r="G8" s="32"/>
      <c r="H8" s="32"/>
      <c r="K8" s="33"/>
      <c r="L8" s="33"/>
      <c r="M8" s="33"/>
      <c r="N8" s="33"/>
      <c r="O8" s="33"/>
      <c r="P8" s="144" t="s">
        <v>56</v>
      </c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F8" s="145"/>
      <c r="AG8" s="145"/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  <c r="AV8" s="145"/>
      <c r="AW8" s="145"/>
      <c r="AX8" s="145"/>
      <c r="AY8" s="145"/>
      <c r="AZ8" s="145"/>
      <c r="BA8" s="145"/>
      <c r="BB8" s="145"/>
      <c r="BC8" s="145"/>
      <c r="BD8" s="145"/>
      <c r="BE8" s="145"/>
      <c r="BF8" s="145"/>
      <c r="BG8" s="145"/>
      <c r="BH8" s="145"/>
      <c r="BI8" s="145"/>
      <c r="BJ8" s="145"/>
      <c r="BK8" s="145"/>
      <c r="BL8" s="145"/>
      <c r="BM8" s="145"/>
      <c r="BN8" s="145"/>
      <c r="BO8" s="145"/>
      <c r="BP8" s="145"/>
      <c r="BQ8" s="145"/>
      <c r="BR8" s="145"/>
      <c r="BS8" s="33"/>
      <c r="BT8" s="33"/>
      <c r="BU8" s="33"/>
      <c r="BV8" s="33"/>
      <c r="BW8" s="33"/>
      <c r="BX8" s="33"/>
      <c r="BY8" s="33"/>
      <c r="BZ8" s="33"/>
    </row>
    <row r="9" spans="1:87" ht="17.25" customHeight="1" x14ac:dyDescent="0.2"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0"/>
      <c r="AR9" s="30"/>
      <c r="AS9" s="30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</row>
    <row r="10" spans="1:87" ht="6.75" customHeight="1" x14ac:dyDescent="0.2"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31"/>
      <c r="AR10" s="31"/>
      <c r="AS10" s="3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</row>
    <row r="11" spans="1:87" ht="6.75" customHeight="1" thickBot="1" x14ac:dyDescent="0.25"/>
    <row r="12" spans="1:87" ht="13.5" thickBot="1" x14ac:dyDescent="0.25">
      <c r="C12" s="7"/>
      <c r="E12" s="146" t="s">
        <v>39</v>
      </c>
      <c r="F12" s="147"/>
      <c r="G12" s="134"/>
      <c r="H12" s="134"/>
      <c r="I12" s="134"/>
      <c r="J12" s="134"/>
      <c r="K12" s="135"/>
      <c r="L12" s="133" t="s">
        <v>18</v>
      </c>
      <c r="M12" s="134"/>
      <c r="N12" s="134"/>
      <c r="O12" s="134"/>
      <c r="P12" s="134"/>
      <c r="Q12" s="134"/>
      <c r="R12" s="135"/>
      <c r="S12" s="133" t="s">
        <v>19</v>
      </c>
      <c r="T12" s="134"/>
      <c r="U12" s="134"/>
      <c r="V12" s="134"/>
      <c r="W12" s="134"/>
      <c r="X12" s="134"/>
      <c r="Y12" s="135"/>
      <c r="Z12" s="133" t="s">
        <v>20</v>
      </c>
      <c r="AA12" s="134"/>
      <c r="AB12" s="134"/>
      <c r="AC12" s="134"/>
      <c r="AD12" s="134"/>
      <c r="AE12" s="134"/>
      <c r="AF12" s="135"/>
      <c r="AG12" s="133" t="s">
        <v>21</v>
      </c>
      <c r="AH12" s="134"/>
      <c r="AI12" s="134"/>
      <c r="AJ12" s="134"/>
      <c r="AK12" s="134"/>
      <c r="AL12" s="134"/>
      <c r="AM12" s="135"/>
      <c r="AN12" s="133" t="s">
        <v>28</v>
      </c>
      <c r="AO12" s="134"/>
      <c r="AP12" s="134"/>
      <c r="AQ12" s="134"/>
      <c r="AR12" s="134"/>
      <c r="AS12" s="135"/>
      <c r="AT12" s="133" t="s">
        <v>22</v>
      </c>
      <c r="AU12" s="134"/>
      <c r="AV12" s="134"/>
      <c r="AW12" s="134"/>
      <c r="AX12" s="134"/>
      <c r="AY12" s="135"/>
      <c r="AZ12" s="151" t="s">
        <v>40</v>
      </c>
      <c r="BA12" s="152"/>
      <c r="BB12" s="152"/>
      <c r="BC12" s="152"/>
      <c r="BD12" s="152"/>
      <c r="BE12" s="152"/>
      <c r="BF12" s="153"/>
      <c r="BG12" s="133" t="s">
        <v>29</v>
      </c>
      <c r="BH12" s="134"/>
      <c r="BI12" s="134"/>
      <c r="BJ12" s="134"/>
      <c r="BK12" s="134"/>
      <c r="BL12" s="134"/>
      <c r="BM12" s="135"/>
      <c r="BN12" s="133" t="s">
        <v>41</v>
      </c>
      <c r="BO12" s="134"/>
      <c r="BP12" s="134"/>
      <c r="BQ12" s="134"/>
      <c r="BR12" s="134"/>
      <c r="BS12" s="135"/>
      <c r="BT12" s="133" t="s">
        <v>36</v>
      </c>
      <c r="BU12" s="134"/>
      <c r="BV12" s="134"/>
      <c r="BW12" s="134"/>
      <c r="BX12" s="134"/>
      <c r="BY12" s="134"/>
      <c r="BZ12" s="135"/>
      <c r="CA12" s="133" t="s">
        <v>35</v>
      </c>
      <c r="CB12" s="134"/>
      <c r="CC12" s="134"/>
      <c r="CD12" s="134"/>
      <c r="CE12" s="134"/>
      <c r="CF12" s="134"/>
      <c r="CG12" s="135"/>
      <c r="CH12" s="7"/>
      <c r="CI12" s="7"/>
    </row>
    <row r="13" spans="1:87" ht="14.1" customHeight="1" thickBot="1" x14ac:dyDescent="0.25">
      <c r="A13" s="109" t="s">
        <v>2</v>
      </c>
      <c r="B13" s="104" t="s">
        <v>2</v>
      </c>
      <c r="C13" s="136" t="s">
        <v>3</v>
      </c>
      <c r="D13" s="138" t="s">
        <v>23</v>
      </c>
      <c r="E13" s="140" t="s">
        <v>4</v>
      </c>
      <c r="F13" s="141"/>
      <c r="G13" s="142" t="s">
        <v>25</v>
      </c>
      <c r="H13" s="142" t="s">
        <v>60</v>
      </c>
      <c r="I13" s="142" t="s">
        <v>61</v>
      </c>
      <c r="J13" s="142" t="s">
        <v>61</v>
      </c>
      <c r="K13" s="148" t="s">
        <v>62</v>
      </c>
      <c r="L13" s="150" t="s">
        <v>4</v>
      </c>
      <c r="M13" s="141"/>
      <c r="N13" s="142" t="s">
        <v>25</v>
      </c>
      <c r="O13" s="142" t="s">
        <v>60</v>
      </c>
      <c r="P13" s="142" t="s">
        <v>34</v>
      </c>
      <c r="Q13" s="142" t="s">
        <v>34</v>
      </c>
      <c r="R13" s="154" t="s">
        <v>24</v>
      </c>
      <c r="S13" s="140" t="s">
        <v>4</v>
      </c>
      <c r="T13" s="141"/>
      <c r="U13" s="142" t="s">
        <v>25</v>
      </c>
      <c r="V13" s="142" t="s">
        <v>33</v>
      </c>
      <c r="W13" s="142" t="s">
        <v>61</v>
      </c>
      <c r="X13" s="142" t="s">
        <v>61</v>
      </c>
      <c r="Y13" s="154" t="s">
        <v>62</v>
      </c>
      <c r="Z13" s="150" t="s">
        <v>4</v>
      </c>
      <c r="AA13" s="141"/>
      <c r="AB13" s="142" t="s">
        <v>25</v>
      </c>
      <c r="AC13" s="142" t="s">
        <v>60</v>
      </c>
      <c r="AD13" s="142" t="s">
        <v>61</v>
      </c>
      <c r="AE13" s="142" t="s">
        <v>61</v>
      </c>
      <c r="AF13" s="154" t="s">
        <v>62</v>
      </c>
      <c r="AG13" s="150" t="s">
        <v>4</v>
      </c>
      <c r="AH13" s="141"/>
      <c r="AI13" s="142" t="s">
        <v>25</v>
      </c>
      <c r="AJ13" s="142" t="s">
        <v>60</v>
      </c>
      <c r="AK13" s="142" t="s">
        <v>61</v>
      </c>
      <c r="AL13" s="142" t="s">
        <v>61</v>
      </c>
      <c r="AM13" s="154" t="s">
        <v>62</v>
      </c>
      <c r="AN13" s="150" t="s">
        <v>4</v>
      </c>
      <c r="AO13" s="141"/>
      <c r="AP13" s="142" t="s">
        <v>60</v>
      </c>
      <c r="AQ13" s="142" t="s">
        <v>61</v>
      </c>
      <c r="AR13" s="142" t="s">
        <v>61</v>
      </c>
      <c r="AS13" s="154" t="s">
        <v>62</v>
      </c>
      <c r="AT13" s="150" t="s">
        <v>4</v>
      </c>
      <c r="AU13" s="141"/>
      <c r="AV13" s="142" t="s">
        <v>60</v>
      </c>
      <c r="AW13" s="142" t="s">
        <v>61</v>
      </c>
      <c r="AX13" s="142" t="s">
        <v>61</v>
      </c>
      <c r="AY13" s="154" t="s">
        <v>62</v>
      </c>
      <c r="AZ13" s="150" t="s">
        <v>4</v>
      </c>
      <c r="BA13" s="141"/>
      <c r="BB13" s="142" t="s">
        <v>25</v>
      </c>
      <c r="BC13" s="142" t="s">
        <v>60</v>
      </c>
      <c r="BD13" s="142" t="s">
        <v>61</v>
      </c>
      <c r="BE13" s="142" t="s">
        <v>61</v>
      </c>
      <c r="BF13" s="154" t="s">
        <v>62</v>
      </c>
      <c r="BG13" s="150" t="s">
        <v>4</v>
      </c>
      <c r="BH13" s="141"/>
      <c r="BI13" s="142" t="s">
        <v>25</v>
      </c>
      <c r="BJ13" s="142" t="s">
        <v>60</v>
      </c>
      <c r="BK13" s="142" t="s">
        <v>61</v>
      </c>
      <c r="BL13" s="142" t="s">
        <v>61</v>
      </c>
      <c r="BM13" s="154" t="s">
        <v>62</v>
      </c>
      <c r="BN13" s="150" t="s">
        <v>4</v>
      </c>
      <c r="BO13" s="141"/>
      <c r="BP13" s="142" t="s">
        <v>60</v>
      </c>
      <c r="BQ13" s="142" t="s">
        <v>61</v>
      </c>
      <c r="BR13" s="142" t="s">
        <v>61</v>
      </c>
      <c r="BS13" s="154" t="s">
        <v>62</v>
      </c>
      <c r="BT13" s="150" t="s">
        <v>4</v>
      </c>
      <c r="BU13" s="141"/>
      <c r="BV13" s="142" t="s">
        <v>25</v>
      </c>
      <c r="BW13" s="142" t="s">
        <v>60</v>
      </c>
      <c r="BX13" s="142" t="s">
        <v>61</v>
      </c>
      <c r="BY13" s="142" t="s">
        <v>61</v>
      </c>
      <c r="BZ13" s="154" t="s">
        <v>62</v>
      </c>
      <c r="CA13" s="150" t="s">
        <v>4</v>
      </c>
      <c r="CB13" s="141"/>
      <c r="CC13" s="142" t="s">
        <v>25</v>
      </c>
      <c r="CD13" s="142" t="s">
        <v>60</v>
      </c>
      <c r="CE13" s="142" t="s">
        <v>61</v>
      </c>
      <c r="CF13" s="142" t="s">
        <v>61</v>
      </c>
      <c r="CG13" s="154" t="s">
        <v>62</v>
      </c>
      <c r="CH13" s="2"/>
      <c r="CI13" s="3"/>
    </row>
    <row r="14" spans="1:87" ht="11.65" customHeight="1" thickBot="1" x14ac:dyDescent="0.25">
      <c r="A14" s="110" t="s">
        <v>5</v>
      </c>
      <c r="B14" s="105" t="s">
        <v>6</v>
      </c>
      <c r="C14" s="137"/>
      <c r="D14" s="139"/>
      <c r="E14" s="16" t="s">
        <v>7</v>
      </c>
      <c r="F14" s="17" t="s">
        <v>8</v>
      </c>
      <c r="G14" s="143"/>
      <c r="H14" s="143"/>
      <c r="I14" s="143"/>
      <c r="J14" s="143"/>
      <c r="K14" s="149"/>
      <c r="L14" s="16" t="s">
        <v>7</v>
      </c>
      <c r="M14" s="17" t="s">
        <v>8</v>
      </c>
      <c r="N14" s="143"/>
      <c r="O14" s="143"/>
      <c r="P14" s="143"/>
      <c r="Q14" s="143"/>
      <c r="R14" s="156"/>
      <c r="S14" s="86" t="s">
        <v>7</v>
      </c>
      <c r="T14" s="17" t="s">
        <v>8</v>
      </c>
      <c r="U14" s="143"/>
      <c r="V14" s="143"/>
      <c r="W14" s="143"/>
      <c r="X14" s="143"/>
      <c r="Y14" s="155"/>
      <c r="Z14" s="16" t="s">
        <v>7</v>
      </c>
      <c r="AA14" s="17" t="s">
        <v>8</v>
      </c>
      <c r="AB14" s="143"/>
      <c r="AC14" s="143"/>
      <c r="AD14" s="143"/>
      <c r="AE14" s="143"/>
      <c r="AF14" s="155"/>
      <c r="AG14" s="16" t="s">
        <v>7</v>
      </c>
      <c r="AH14" s="17" t="s">
        <v>8</v>
      </c>
      <c r="AI14" s="143"/>
      <c r="AJ14" s="143"/>
      <c r="AK14" s="143"/>
      <c r="AL14" s="143"/>
      <c r="AM14" s="155"/>
      <c r="AN14" s="10" t="s">
        <v>8</v>
      </c>
      <c r="AO14" s="11" t="s">
        <v>7</v>
      </c>
      <c r="AP14" s="143"/>
      <c r="AQ14" s="143"/>
      <c r="AR14" s="143"/>
      <c r="AS14" s="155"/>
      <c r="AT14" s="10" t="s">
        <v>8</v>
      </c>
      <c r="AU14" s="11" t="s">
        <v>7</v>
      </c>
      <c r="AV14" s="143"/>
      <c r="AW14" s="143"/>
      <c r="AX14" s="143"/>
      <c r="AY14" s="155"/>
      <c r="AZ14" s="22" t="s">
        <v>8</v>
      </c>
      <c r="BA14" s="11" t="s">
        <v>7</v>
      </c>
      <c r="BB14" s="143"/>
      <c r="BC14" s="143"/>
      <c r="BD14" s="143"/>
      <c r="BE14" s="143"/>
      <c r="BF14" s="155"/>
      <c r="BG14" s="22" t="s">
        <v>8</v>
      </c>
      <c r="BH14" s="11" t="s">
        <v>7</v>
      </c>
      <c r="BI14" s="143"/>
      <c r="BJ14" s="143"/>
      <c r="BK14" s="143"/>
      <c r="BL14" s="143"/>
      <c r="BM14" s="155"/>
      <c r="BN14" s="10" t="s">
        <v>8</v>
      </c>
      <c r="BO14" s="11" t="s">
        <v>7</v>
      </c>
      <c r="BP14" s="143"/>
      <c r="BQ14" s="143"/>
      <c r="BR14" s="143"/>
      <c r="BS14" s="155"/>
      <c r="BT14" s="10" t="s">
        <v>8</v>
      </c>
      <c r="BU14" s="11" t="s">
        <v>7</v>
      </c>
      <c r="BV14" s="143"/>
      <c r="BW14" s="143"/>
      <c r="BX14" s="143"/>
      <c r="BY14" s="143"/>
      <c r="BZ14" s="155"/>
      <c r="CA14" s="22" t="s">
        <v>8</v>
      </c>
      <c r="CB14" s="11" t="s">
        <v>7</v>
      </c>
      <c r="CC14" s="143"/>
      <c r="CD14" s="143"/>
      <c r="CE14" s="143"/>
      <c r="CF14" s="143"/>
      <c r="CG14" s="155"/>
      <c r="CH14" s="60" t="s">
        <v>26</v>
      </c>
      <c r="CI14" s="26" t="s">
        <v>9</v>
      </c>
    </row>
    <row r="15" spans="1:87" ht="13.5" x14ac:dyDescent="0.2">
      <c r="A15" s="111">
        <v>1</v>
      </c>
      <c r="B15" s="106"/>
      <c r="C15" s="99"/>
      <c r="D15" s="62" t="s">
        <v>30</v>
      </c>
      <c r="E15" s="35"/>
      <c r="F15" s="36"/>
      <c r="G15" s="37"/>
      <c r="H15" s="56">
        <v>14</v>
      </c>
      <c r="I15" s="56">
        <v>12</v>
      </c>
      <c r="J15" s="56">
        <v>12</v>
      </c>
      <c r="K15" s="24">
        <f>(J15+I15+H15)/3</f>
        <v>12.666666666666666</v>
      </c>
      <c r="L15" s="43"/>
      <c r="M15" s="44"/>
      <c r="N15" s="37"/>
      <c r="O15" s="56">
        <v>14</v>
      </c>
      <c r="P15" s="56">
        <v>15</v>
      </c>
      <c r="Q15" s="56">
        <v>8</v>
      </c>
      <c r="R15" s="25">
        <f>(Q15+P15+O15)/3</f>
        <v>12.333333333333334</v>
      </c>
      <c r="S15" s="53"/>
      <c r="T15" s="44"/>
      <c r="U15" s="37"/>
      <c r="V15" s="56">
        <v>10</v>
      </c>
      <c r="W15" s="56">
        <v>16</v>
      </c>
      <c r="X15" s="56">
        <v>17</v>
      </c>
      <c r="Y15" s="25">
        <f>(X15+W15+V15)/3</f>
        <v>14.333333333333334</v>
      </c>
      <c r="Z15" s="43"/>
      <c r="AA15" s="44"/>
      <c r="AB15" s="37"/>
      <c r="AC15" s="56">
        <v>10</v>
      </c>
      <c r="AD15" s="56">
        <v>11</v>
      </c>
      <c r="AE15" s="56">
        <v>11</v>
      </c>
      <c r="AF15" s="25">
        <f>(AE15+AD15+AC15)/3</f>
        <v>10.666666666666666</v>
      </c>
      <c r="AG15" s="43"/>
      <c r="AH15" s="44"/>
      <c r="AI15" s="37"/>
      <c r="AJ15" s="56">
        <v>15</v>
      </c>
      <c r="AK15" s="56">
        <v>13</v>
      </c>
      <c r="AL15" s="56">
        <v>10</v>
      </c>
      <c r="AM15" s="25">
        <f>(AL15+AK15+AJ15)/3</f>
        <v>12.666666666666666</v>
      </c>
      <c r="AN15" s="47"/>
      <c r="AO15" s="48"/>
      <c r="AP15" s="56">
        <v>10</v>
      </c>
      <c r="AQ15" s="56">
        <v>16</v>
      </c>
      <c r="AR15" s="56">
        <v>17</v>
      </c>
      <c r="AS15" s="25">
        <f>(AR15+AQ15+AP15)/3</f>
        <v>14.333333333333334</v>
      </c>
      <c r="AT15" s="47"/>
      <c r="AU15" s="48"/>
      <c r="AV15" s="56">
        <v>13</v>
      </c>
      <c r="AW15" s="56">
        <v>5</v>
      </c>
      <c r="AX15" s="56">
        <v>12</v>
      </c>
      <c r="AY15" s="25">
        <f>(AX15+AW15+AV15)/3</f>
        <v>10</v>
      </c>
      <c r="AZ15" s="47"/>
      <c r="BA15" s="42"/>
      <c r="BB15" s="42"/>
      <c r="BC15" s="56">
        <v>11</v>
      </c>
      <c r="BD15" s="56">
        <v>14</v>
      </c>
      <c r="BE15" s="56">
        <v>17</v>
      </c>
      <c r="BF15" s="25">
        <f>(BE15+BD15+BC15)/3</f>
        <v>14</v>
      </c>
      <c r="BG15" s="47"/>
      <c r="BH15" s="48"/>
      <c r="BI15" s="42"/>
      <c r="BJ15" s="55">
        <v>12</v>
      </c>
      <c r="BK15" s="51">
        <v>15</v>
      </c>
      <c r="BL15" s="38">
        <v>10</v>
      </c>
      <c r="BM15" s="25">
        <f>(BL15+BK15+BJ15)/3</f>
        <v>12.333333333333334</v>
      </c>
      <c r="BN15" s="47"/>
      <c r="BO15" s="48"/>
      <c r="BP15" s="37">
        <v>14</v>
      </c>
      <c r="BQ15" s="56">
        <v>14</v>
      </c>
      <c r="BR15" s="56">
        <v>12</v>
      </c>
      <c r="BS15" s="25">
        <f>(BR15+BQ15+BP15)/3</f>
        <v>13.333333333333334</v>
      </c>
      <c r="BT15" s="47"/>
      <c r="BU15" s="48"/>
      <c r="BV15" s="37"/>
      <c r="BW15" s="56">
        <v>12</v>
      </c>
      <c r="BX15" s="56">
        <v>7</v>
      </c>
      <c r="BY15" s="56">
        <v>11</v>
      </c>
      <c r="BZ15" s="25">
        <f>(BY15+BX15+BW15)/3</f>
        <v>10</v>
      </c>
      <c r="CA15" s="47"/>
      <c r="CB15" s="48"/>
      <c r="CC15" s="37"/>
      <c r="CD15" s="56">
        <v>13</v>
      </c>
      <c r="CE15" s="56">
        <v>15</v>
      </c>
      <c r="CF15" s="56">
        <v>17</v>
      </c>
      <c r="CG15" s="76">
        <f>(CF15+CE15+CD15)/3</f>
        <v>15</v>
      </c>
      <c r="CH15" s="28"/>
      <c r="CI15" s="23"/>
    </row>
    <row r="16" spans="1:87" ht="13.5" x14ac:dyDescent="0.2">
      <c r="A16" s="112">
        <f t="shared" ref="A16:A50" si="0">A15+1</f>
        <v>2</v>
      </c>
      <c r="B16" s="107"/>
      <c r="C16" s="100"/>
      <c r="D16" s="62" t="s">
        <v>30</v>
      </c>
      <c r="E16" s="39"/>
      <c r="F16" s="40"/>
      <c r="G16" s="41"/>
      <c r="H16" s="57">
        <v>15</v>
      </c>
      <c r="I16" s="57">
        <v>6</v>
      </c>
      <c r="J16" s="57">
        <v>11</v>
      </c>
      <c r="K16" s="88">
        <f>(J16+I16+H16)/3</f>
        <v>10.666666666666666</v>
      </c>
      <c r="L16" s="45"/>
      <c r="M16" s="46"/>
      <c r="N16" s="41"/>
      <c r="O16" s="57">
        <v>12</v>
      </c>
      <c r="P16" s="57">
        <v>13</v>
      </c>
      <c r="Q16" s="57">
        <v>13</v>
      </c>
      <c r="R16" s="25">
        <f>(Q16+P16+O16)/3</f>
        <v>12.666666666666666</v>
      </c>
      <c r="S16" s="54"/>
      <c r="T16" s="46"/>
      <c r="U16" s="41"/>
      <c r="V16" s="57">
        <v>8</v>
      </c>
      <c r="W16" s="57">
        <v>16</v>
      </c>
      <c r="X16" s="57">
        <v>17</v>
      </c>
      <c r="Y16" s="25">
        <f>(X16+W16+V16)/3</f>
        <v>13.666666666666666</v>
      </c>
      <c r="Z16" s="45"/>
      <c r="AA16" s="46"/>
      <c r="AB16" s="41"/>
      <c r="AC16" s="57">
        <v>12</v>
      </c>
      <c r="AD16" s="57">
        <v>10</v>
      </c>
      <c r="AE16" s="57">
        <v>10</v>
      </c>
      <c r="AF16" s="25">
        <f>(AE16+AD16+AC16)/3</f>
        <v>10.666666666666666</v>
      </c>
      <c r="AG16" s="45"/>
      <c r="AH16" s="46"/>
      <c r="AI16" s="41"/>
      <c r="AJ16" s="57">
        <v>19</v>
      </c>
      <c r="AK16" s="57">
        <v>17</v>
      </c>
      <c r="AL16" s="57">
        <v>9</v>
      </c>
      <c r="AM16" s="25">
        <f>(AL16+AK16+AJ16)/3</f>
        <v>15</v>
      </c>
      <c r="AN16" s="49"/>
      <c r="AO16" s="50"/>
      <c r="AP16" s="57">
        <v>8</v>
      </c>
      <c r="AQ16" s="57">
        <v>16</v>
      </c>
      <c r="AR16" s="57">
        <v>17</v>
      </c>
      <c r="AS16" s="25">
        <f>(AR16+AQ16+AP16)/3</f>
        <v>13.666666666666666</v>
      </c>
      <c r="AT16" s="49"/>
      <c r="AU16" s="50"/>
      <c r="AV16" s="57">
        <v>14</v>
      </c>
      <c r="AW16" s="57">
        <v>7</v>
      </c>
      <c r="AX16" s="57">
        <v>17</v>
      </c>
      <c r="AY16" s="25">
        <f>(AX16+AW16+AV16)/3</f>
        <v>12.666666666666666</v>
      </c>
      <c r="AZ16" s="49"/>
      <c r="BA16" s="42"/>
      <c r="BB16" s="42"/>
      <c r="BC16" s="57">
        <v>10</v>
      </c>
      <c r="BD16" s="57">
        <v>14</v>
      </c>
      <c r="BE16" s="57">
        <v>14</v>
      </c>
      <c r="BF16" s="25">
        <f>(BE16+BD16+BC16)/3</f>
        <v>12.666666666666666</v>
      </c>
      <c r="BG16" s="49"/>
      <c r="BH16" s="50"/>
      <c r="BI16" s="42"/>
      <c r="BJ16" s="42">
        <v>13</v>
      </c>
      <c r="BK16" s="52">
        <v>6</v>
      </c>
      <c r="BL16" s="42">
        <v>11</v>
      </c>
      <c r="BM16" s="25">
        <f>(BL16+BK16+BJ16)/3</f>
        <v>10</v>
      </c>
      <c r="BN16" s="49"/>
      <c r="BO16" s="50"/>
      <c r="BP16" s="41">
        <v>12</v>
      </c>
      <c r="BQ16" s="56">
        <v>12</v>
      </c>
      <c r="BR16" s="57">
        <v>9</v>
      </c>
      <c r="BS16" s="25">
        <f>(BR16+BQ16+BP16)/3</f>
        <v>11</v>
      </c>
      <c r="BT16" s="49"/>
      <c r="BU16" s="50"/>
      <c r="BV16" s="41"/>
      <c r="BW16" s="56">
        <v>13</v>
      </c>
      <c r="BX16" s="57">
        <v>10</v>
      </c>
      <c r="BY16" s="57">
        <v>9</v>
      </c>
      <c r="BZ16" s="25">
        <f>(BY16+BX16+BW16)/3</f>
        <v>10.666666666666666</v>
      </c>
      <c r="CA16" s="49"/>
      <c r="CB16" s="50"/>
      <c r="CC16" s="41"/>
      <c r="CD16" s="57">
        <v>12</v>
      </c>
      <c r="CE16" s="57">
        <v>13</v>
      </c>
      <c r="CF16" s="57">
        <v>18</v>
      </c>
      <c r="CG16" s="76">
        <f>(CF16+CE16+CD16)/3</f>
        <v>14.333333333333334</v>
      </c>
      <c r="CH16" s="27"/>
      <c r="CI16" s="15"/>
    </row>
    <row r="17" spans="1:87" ht="15" customHeight="1" x14ac:dyDescent="0.2">
      <c r="A17" s="112">
        <f t="shared" si="0"/>
        <v>3</v>
      </c>
      <c r="B17" s="107"/>
      <c r="C17" s="101"/>
      <c r="D17" s="62"/>
      <c r="E17" s="39"/>
      <c r="F17" s="40"/>
      <c r="G17" s="41"/>
      <c r="H17" s="57">
        <v>14</v>
      </c>
      <c r="I17" s="57">
        <v>14</v>
      </c>
      <c r="J17" s="57">
        <v>14</v>
      </c>
      <c r="K17" s="75">
        <f t="shared" ref="K17:K50" si="1">(J17+I17+H17)/3</f>
        <v>14</v>
      </c>
      <c r="L17" s="45"/>
      <c r="M17" s="46"/>
      <c r="N17" s="41"/>
      <c r="O17" s="57">
        <v>14</v>
      </c>
      <c r="P17" s="57">
        <v>15</v>
      </c>
      <c r="Q17" s="57">
        <v>13</v>
      </c>
      <c r="R17" s="25">
        <f t="shared" ref="R17:R50" si="2">(Q17+P17+O17)/3</f>
        <v>14</v>
      </c>
      <c r="S17" s="54"/>
      <c r="T17" s="46"/>
      <c r="U17" s="41"/>
      <c r="V17" s="74">
        <v>8</v>
      </c>
      <c r="W17" s="74">
        <v>15</v>
      </c>
      <c r="X17" s="74">
        <v>15</v>
      </c>
      <c r="Y17" s="25">
        <f t="shared" ref="Y17:Y50" si="3">(X17+W17+V17)/3</f>
        <v>12.666666666666666</v>
      </c>
      <c r="Z17" s="45"/>
      <c r="AA17" s="46"/>
      <c r="AB17" s="41"/>
      <c r="AC17" s="57">
        <v>15</v>
      </c>
      <c r="AD17" s="57">
        <v>16</v>
      </c>
      <c r="AE17" s="57">
        <v>14</v>
      </c>
      <c r="AF17" s="25">
        <f t="shared" ref="AF17:AF50" si="4">(AE17+AD17+AC17)/3</f>
        <v>15</v>
      </c>
      <c r="AG17" s="45"/>
      <c r="AH17" s="46"/>
      <c r="AI17" s="41"/>
      <c r="AJ17" s="74">
        <v>19</v>
      </c>
      <c r="AK17" s="74">
        <v>18</v>
      </c>
      <c r="AL17" s="74">
        <v>13</v>
      </c>
      <c r="AM17" s="25">
        <f t="shared" ref="AM17:AM50" si="5">(AL17+AK17+AJ17)/3</f>
        <v>16.666666666666668</v>
      </c>
      <c r="AN17" s="49"/>
      <c r="AO17" s="50"/>
      <c r="AP17" s="57">
        <v>8</v>
      </c>
      <c r="AQ17" s="57">
        <v>15</v>
      </c>
      <c r="AR17" s="57">
        <v>15</v>
      </c>
      <c r="AS17" s="25">
        <f t="shared" ref="AS17:AS50" si="6">(AR17+AQ17+AP17)/3</f>
        <v>12.666666666666666</v>
      </c>
      <c r="AT17" s="49"/>
      <c r="AU17" s="50"/>
      <c r="AV17" s="57">
        <v>14</v>
      </c>
      <c r="AW17" s="57">
        <v>9</v>
      </c>
      <c r="AX17" s="57">
        <v>12</v>
      </c>
      <c r="AY17" s="25">
        <f t="shared" ref="AY17:AY50" si="7">(AX17+AW17+AV17)/3</f>
        <v>11.666666666666666</v>
      </c>
      <c r="AZ17" s="49"/>
      <c r="BA17" s="42"/>
      <c r="BB17" s="42"/>
      <c r="BC17" s="57">
        <v>10</v>
      </c>
      <c r="BD17" s="57">
        <v>15</v>
      </c>
      <c r="BE17" s="57">
        <v>10</v>
      </c>
      <c r="BF17" s="25">
        <f t="shared" ref="BF17:BF50" si="8">(BE17+BD17+BC17)/3</f>
        <v>11.666666666666666</v>
      </c>
      <c r="BG17" s="49"/>
      <c r="BH17" s="50"/>
      <c r="BI17" s="42"/>
      <c r="BJ17" s="42">
        <v>13</v>
      </c>
      <c r="BK17" s="52">
        <v>15</v>
      </c>
      <c r="BL17" s="42">
        <v>8</v>
      </c>
      <c r="BM17" s="25">
        <f t="shared" ref="BM17:BM50" si="9">(BL17+BK17+BJ17)/3</f>
        <v>12</v>
      </c>
      <c r="BN17" s="49"/>
      <c r="BO17" s="50"/>
      <c r="BP17" s="41">
        <v>12</v>
      </c>
      <c r="BQ17" s="56">
        <v>10</v>
      </c>
      <c r="BR17" s="57">
        <v>13</v>
      </c>
      <c r="BS17" s="25">
        <f t="shared" ref="BS17:BS50" si="10">(BR17+BQ17+BP17)/3</f>
        <v>11.666666666666666</v>
      </c>
      <c r="BT17" s="49"/>
      <c r="BU17" s="50"/>
      <c r="BV17" s="41"/>
      <c r="BW17" s="56">
        <v>15</v>
      </c>
      <c r="BX17" s="74">
        <v>10</v>
      </c>
      <c r="BY17" s="57">
        <v>8</v>
      </c>
      <c r="BZ17" s="25">
        <f t="shared" ref="BZ17:BZ50" si="11">(BY17+BX17+BW17)/3</f>
        <v>11</v>
      </c>
      <c r="CA17" s="49"/>
      <c r="CB17" s="50"/>
      <c r="CC17" s="41"/>
      <c r="CD17" s="57">
        <v>11</v>
      </c>
      <c r="CE17" s="57">
        <v>12</v>
      </c>
      <c r="CF17" s="57">
        <v>13</v>
      </c>
      <c r="CG17" s="76">
        <f t="shared" ref="CG17:CG50" si="12">(CF17+CE17+CD17)/3</f>
        <v>12</v>
      </c>
      <c r="CH17" s="27"/>
      <c r="CI17" s="15"/>
    </row>
    <row r="18" spans="1:87" ht="13.5" x14ac:dyDescent="0.2">
      <c r="A18" s="112">
        <f t="shared" si="0"/>
        <v>4</v>
      </c>
      <c r="B18" s="107"/>
      <c r="C18" s="102"/>
      <c r="D18" s="62"/>
      <c r="E18" s="39"/>
      <c r="F18" s="40"/>
      <c r="G18" s="41"/>
      <c r="H18" s="57">
        <v>10</v>
      </c>
      <c r="I18" s="57">
        <v>2</v>
      </c>
      <c r="J18" s="57">
        <v>4</v>
      </c>
      <c r="K18" s="75">
        <f t="shared" si="1"/>
        <v>5.333333333333333</v>
      </c>
      <c r="L18" s="45"/>
      <c r="M18" s="46"/>
      <c r="N18" s="41"/>
      <c r="O18" s="57">
        <v>14</v>
      </c>
      <c r="P18" s="57">
        <v>8</v>
      </c>
      <c r="Q18" s="57">
        <v>3</v>
      </c>
      <c r="R18" s="25">
        <f t="shared" si="2"/>
        <v>8.3333333333333339</v>
      </c>
      <c r="S18" s="54"/>
      <c r="T18" s="46"/>
      <c r="U18" s="73"/>
      <c r="V18" s="57">
        <v>8</v>
      </c>
      <c r="W18" s="57">
        <v>15</v>
      </c>
      <c r="X18" s="57">
        <v>15</v>
      </c>
      <c r="Y18" s="25">
        <f t="shared" si="3"/>
        <v>12.666666666666666</v>
      </c>
      <c r="Z18" s="54"/>
      <c r="AA18" s="46"/>
      <c r="AB18" s="41"/>
      <c r="AC18" s="57">
        <v>10</v>
      </c>
      <c r="AD18" s="57">
        <v>10</v>
      </c>
      <c r="AE18" s="57">
        <v>10</v>
      </c>
      <c r="AF18" s="25">
        <f t="shared" si="4"/>
        <v>10</v>
      </c>
      <c r="AG18" s="45"/>
      <c r="AH18" s="46"/>
      <c r="AI18" s="73"/>
      <c r="AJ18" s="57">
        <v>15</v>
      </c>
      <c r="AK18" s="57">
        <v>13</v>
      </c>
      <c r="AL18" s="57">
        <v>4</v>
      </c>
      <c r="AM18" s="25">
        <f t="shared" si="5"/>
        <v>10.666666666666666</v>
      </c>
      <c r="AN18" s="49"/>
      <c r="AO18" s="50"/>
      <c r="AP18" s="57">
        <v>8</v>
      </c>
      <c r="AQ18" s="57">
        <v>15</v>
      </c>
      <c r="AR18" s="57">
        <v>15</v>
      </c>
      <c r="AS18" s="25">
        <f t="shared" si="6"/>
        <v>12.666666666666666</v>
      </c>
      <c r="AT18" s="49"/>
      <c r="AU18" s="50"/>
      <c r="AV18" s="57">
        <v>14</v>
      </c>
      <c r="AW18" s="57">
        <v>5</v>
      </c>
      <c r="AX18" s="57">
        <v>5</v>
      </c>
      <c r="AY18" s="25">
        <f t="shared" si="7"/>
        <v>8</v>
      </c>
      <c r="AZ18" s="49"/>
      <c r="BA18" s="42"/>
      <c r="BB18" s="42"/>
      <c r="BC18" s="57">
        <v>10</v>
      </c>
      <c r="BD18" s="57">
        <v>11</v>
      </c>
      <c r="BE18" s="57">
        <v>2</v>
      </c>
      <c r="BF18" s="25">
        <f t="shared" si="8"/>
        <v>7.666666666666667</v>
      </c>
      <c r="BG18" s="49"/>
      <c r="BH18" s="50"/>
      <c r="BI18" s="42"/>
      <c r="BJ18" s="42">
        <v>10</v>
      </c>
      <c r="BK18" s="52">
        <v>5</v>
      </c>
      <c r="BL18" s="42">
        <v>4</v>
      </c>
      <c r="BM18" s="25">
        <f t="shared" si="9"/>
        <v>6.333333333333333</v>
      </c>
      <c r="BN18" s="49"/>
      <c r="BO18" s="50"/>
      <c r="BP18" s="41">
        <v>12</v>
      </c>
      <c r="BQ18" s="56">
        <v>7</v>
      </c>
      <c r="BR18" s="57">
        <v>10</v>
      </c>
      <c r="BS18" s="25">
        <f t="shared" si="10"/>
        <v>9.6666666666666661</v>
      </c>
      <c r="BT18" s="49"/>
      <c r="BU18" s="50"/>
      <c r="BV18" s="41"/>
      <c r="BW18" s="80">
        <v>10</v>
      </c>
      <c r="BX18" s="57">
        <v>5</v>
      </c>
      <c r="BY18" s="78">
        <v>3</v>
      </c>
      <c r="BZ18" s="25">
        <f t="shared" si="11"/>
        <v>6</v>
      </c>
      <c r="CA18" s="49"/>
      <c r="CB18" s="50"/>
      <c r="CC18" s="41"/>
      <c r="CD18" s="57">
        <v>12</v>
      </c>
      <c r="CE18" s="57">
        <v>5</v>
      </c>
      <c r="CF18" s="57">
        <v>13</v>
      </c>
      <c r="CG18" s="76">
        <f t="shared" si="12"/>
        <v>10</v>
      </c>
      <c r="CH18" s="27"/>
      <c r="CI18" s="15"/>
    </row>
    <row r="19" spans="1:87" ht="13.5" x14ac:dyDescent="0.2">
      <c r="A19" s="112">
        <f t="shared" si="0"/>
        <v>5</v>
      </c>
      <c r="B19" s="107"/>
      <c r="C19" s="101"/>
      <c r="D19" s="62"/>
      <c r="E19" s="39"/>
      <c r="F19" s="40"/>
      <c r="G19" s="41"/>
      <c r="H19" s="57">
        <v>17</v>
      </c>
      <c r="I19" s="57">
        <v>14</v>
      </c>
      <c r="J19" s="57">
        <v>13</v>
      </c>
      <c r="K19" s="75">
        <f t="shared" si="1"/>
        <v>14.666666666666666</v>
      </c>
      <c r="L19" s="45"/>
      <c r="M19" s="46"/>
      <c r="N19" s="41"/>
      <c r="O19" s="57">
        <v>16</v>
      </c>
      <c r="P19" s="57">
        <v>10</v>
      </c>
      <c r="Q19" s="57">
        <v>3</v>
      </c>
      <c r="R19" s="25">
        <f t="shared" si="2"/>
        <v>9.6666666666666661</v>
      </c>
      <c r="S19" s="54"/>
      <c r="T19" s="46"/>
      <c r="U19" s="41"/>
      <c r="V19" s="56">
        <v>10</v>
      </c>
      <c r="W19" s="56">
        <v>12</v>
      </c>
      <c r="X19" s="56">
        <v>17</v>
      </c>
      <c r="Y19" s="25">
        <f t="shared" si="3"/>
        <v>13</v>
      </c>
      <c r="Z19" s="45"/>
      <c r="AA19" s="46"/>
      <c r="AB19" s="41"/>
      <c r="AC19" s="57">
        <v>13</v>
      </c>
      <c r="AD19" s="57">
        <v>14</v>
      </c>
      <c r="AE19" s="57">
        <v>15</v>
      </c>
      <c r="AF19" s="25">
        <f t="shared" si="4"/>
        <v>14</v>
      </c>
      <c r="AG19" s="45"/>
      <c r="AH19" s="46"/>
      <c r="AI19" s="73"/>
      <c r="AJ19" s="57">
        <v>19</v>
      </c>
      <c r="AK19" s="57">
        <v>19</v>
      </c>
      <c r="AL19" s="57">
        <v>16</v>
      </c>
      <c r="AM19" s="25">
        <f t="shared" si="5"/>
        <v>18</v>
      </c>
      <c r="AN19" s="49"/>
      <c r="AO19" s="50"/>
      <c r="AP19" s="57">
        <v>10</v>
      </c>
      <c r="AQ19" s="57">
        <v>12</v>
      </c>
      <c r="AR19" s="57">
        <v>17</v>
      </c>
      <c r="AS19" s="25">
        <f t="shared" si="6"/>
        <v>13</v>
      </c>
      <c r="AT19" s="49"/>
      <c r="AU19" s="50"/>
      <c r="AV19" s="57">
        <v>12</v>
      </c>
      <c r="AW19" s="57">
        <v>5</v>
      </c>
      <c r="AX19" s="57">
        <v>5</v>
      </c>
      <c r="AY19" s="25">
        <f t="shared" si="7"/>
        <v>7.333333333333333</v>
      </c>
      <c r="AZ19" s="49"/>
      <c r="BA19" s="42"/>
      <c r="BB19" s="42"/>
      <c r="BC19" s="57">
        <v>11</v>
      </c>
      <c r="BD19" s="57">
        <v>12</v>
      </c>
      <c r="BE19" s="57">
        <v>13</v>
      </c>
      <c r="BF19" s="25">
        <f t="shared" si="8"/>
        <v>12</v>
      </c>
      <c r="BG19" s="49"/>
      <c r="BH19" s="50"/>
      <c r="BI19" s="42"/>
      <c r="BJ19" s="42">
        <v>13</v>
      </c>
      <c r="BK19" s="52">
        <v>13</v>
      </c>
      <c r="BL19" s="42">
        <v>6</v>
      </c>
      <c r="BM19" s="25">
        <f t="shared" si="9"/>
        <v>10.666666666666666</v>
      </c>
      <c r="BN19" s="49"/>
      <c r="BO19" s="50"/>
      <c r="BP19" s="41">
        <v>15</v>
      </c>
      <c r="BQ19" s="57">
        <v>16</v>
      </c>
      <c r="BR19" s="57">
        <v>17</v>
      </c>
      <c r="BS19" s="25">
        <f t="shared" si="10"/>
        <v>16</v>
      </c>
      <c r="BT19" s="49"/>
      <c r="BU19" s="50"/>
      <c r="BV19" s="41"/>
      <c r="BW19" s="57">
        <v>15</v>
      </c>
      <c r="BX19" s="56">
        <v>11</v>
      </c>
      <c r="BY19" s="57">
        <v>5</v>
      </c>
      <c r="BZ19" s="25">
        <f t="shared" si="11"/>
        <v>10.333333333333334</v>
      </c>
      <c r="CA19" s="49"/>
      <c r="CB19" s="50"/>
      <c r="CC19" s="41"/>
      <c r="CD19" s="57">
        <v>13</v>
      </c>
      <c r="CE19" s="57">
        <v>16</v>
      </c>
      <c r="CF19" s="57">
        <v>17</v>
      </c>
      <c r="CG19" s="76">
        <f t="shared" si="12"/>
        <v>15.333333333333334</v>
      </c>
      <c r="CH19" s="27"/>
      <c r="CI19" s="15"/>
    </row>
    <row r="20" spans="1:87" ht="15.75" customHeight="1" x14ac:dyDescent="0.2">
      <c r="A20" s="112">
        <f t="shared" si="0"/>
        <v>6</v>
      </c>
      <c r="B20" s="107"/>
      <c r="C20" s="101"/>
      <c r="D20" s="62"/>
      <c r="E20" s="39"/>
      <c r="F20" s="40"/>
      <c r="G20" s="41"/>
      <c r="H20" s="57">
        <v>14</v>
      </c>
      <c r="I20" s="57">
        <v>16</v>
      </c>
      <c r="J20" s="57">
        <v>15</v>
      </c>
      <c r="K20" s="25">
        <f t="shared" si="1"/>
        <v>15</v>
      </c>
      <c r="L20" s="45"/>
      <c r="M20" s="46"/>
      <c r="N20" s="41"/>
      <c r="O20" s="57">
        <v>17</v>
      </c>
      <c r="P20" s="57">
        <v>19</v>
      </c>
      <c r="Q20" s="57">
        <v>11</v>
      </c>
      <c r="R20" s="25">
        <f t="shared" si="2"/>
        <v>15.666666666666666</v>
      </c>
      <c r="S20" s="54"/>
      <c r="T20" s="46"/>
      <c r="U20" s="41"/>
      <c r="V20" s="57">
        <v>10</v>
      </c>
      <c r="W20" s="57">
        <v>19</v>
      </c>
      <c r="X20" s="57">
        <v>17</v>
      </c>
      <c r="Y20" s="25">
        <f t="shared" si="3"/>
        <v>15.333333333333334</v>
      </c>
      <c r="Z20" s="45"/>
      <c r="AA20" s="46"/>
      <c r="AB20" s="41"/>
      <c r="AC20" s="57">
        <v>10</v>
      </c>
      <c r="AD20" s="57">
        <v>10</v>
      </c>
      <c r="AE20" s="57">
        <v>10</v>
      </c>
      <c r="AF20" s="25">
        <f t="shared" si="4"/>
        <v>10</v>
      </c>
      <c r="AG20" s="45"/>
      <c r="AH20" s="46"/>
      <c r="AI20" s="73"/>
      <c r="AJ20" s="57">
        <v>19</v>
      </c>
      <c r="AK20" s="57">
        <v>19</v>
      </c>
      <c r="AL20" s="57">
        <v>16</v>
      </c>
      <c r="AM20" s="25">
        <f t="shared" si="5"/>
        <v>18</v>
      </c>
      <c r="AN20" s="49"/>
      <c r="AO20" s="50"/>
      <c r="AP20" s="57">
        <v>10</v>
      </c>
      <c r="AQ20" s="57">
        <v>19</v>
      </c>
      <c r="AR20" s="57">
        <v>17</v>
      </c>
      <c r="AS20" s="25">
        <f t="shared" si="6"/>
        <v>15.333333333333334</v>
      </c>
      <c r="AT20" s="49"/>
      <c r="AU20" s="50"/>
      <c r="AV20" s="57">
        <v>14</v>
      </c>
      <c r="AW20" s="57">
        <v>13</v>
      </c>
      <c r="AX20" s="57">
        <v>16</v>
      </c>
      <c r="AY20" s="25">
        <f t="shared" si="7"/>
        <v>14.333333333333334</v>
      </c>
      <c r="AZ20" s="49"/>
      <c r="BA20" s="42"/>
      <c r="BB20" s="42"/>
      <c r="BC20" s="57">
        <v>11</v>
      </c>
      <c r="BD20" s="57">
        <v>15</v>
      </c>
      <c r="BE20" s="57">
        <v>16</v>
      </c>
      <c r="BF20" s="25">
        <f t="shared" si="8"/>
        <v>14</v>
      </c>
      <c r="BG20" s="49"/>
      <c r="BH20" s="50"/>
      <c r="BI20" s="42"/>
      <c r="BJ20" s="42">
        <v>13</v>
      </c>
      <c r="BK20" s="52">
        <v>16</v>
      </c>
      <c r="BL20" s="42">
        <v>17</v>
      </c>
      <c r="BM20" s="25">
        <f t="shared" si="9"/>
        <v>15.333333333333334</v>
      </c>
      <c r="BN20" s="49"/>
      <c r="BO20" s="50"/>
      <c r="BP20" s="41">
        <v>15</v>
      </c>
      <c r="BQ20" s="57">
        <v>13</v>
      </c>
      <c r="BR20" s="57">
        <v>16</v>
      </c>
      <c r="BS20" s="25">
        <f t="shared" si="10"/>
        <v>14.666666666666666</v>
      </c>
      <c r="BT20" s="49"/>
      <c r="BU20" s="50"/>
      <c r="BV20" s="41"/>
      <c r="BW20" s="57">
        <v>14</v>
      </c>
      <c r="BX20" s="57">
        <v>11</v>
      </c>
      <c r="BY20" s="57">
        <v>14</v>
      </c>
      <c r="BZ20" s="25">
        <f t="shared" si="11"/>
        <v>13</v>
      </c>
      <c r="CA20" s="49"/>
      <c r="CB20" s="50"/>
      <c r="CC20" s="41"/>
      <c r="CD20" s="57">
        <v>12</v>
      </c>
      <c r="CE20" s="57">
        <v>15</v>
      </c>
      <c r="CF20" s="57">
        <v>16</v>
      </c>
      <c r="CG20" s="76">
        <f t="shared" si="12"/>
        <v>14.333333333333334</v>
      </c>
      <c r="CH20" s="27"/>
      <c r="CI20" s="15"/>
    </row>
    <row r="21" spans="1:87" ht="12.75" customHeight="1" x14ac:dyDescent="0.2">
      <c r="A21" s="112">
        <f t="shared" si="0"/>
        <v>7</v>
      </c>
      <c r="B21" s="107"/>
      <c r="C21" s="101"/>
      <c r="D21" s="62"/>
      <c r="E21" s="39"/>
      <c r="F21" s="40"/>
      <c r="G21" s="41"/>
      <c r="H21" s="57">
        <v>13</v>
      </c>
      <c r="I21" s="57">
        <v>15</v>
      </c>
      <c r="J21" s="57">
        <v>13</v>
      </c>
      <c r="K21" s="88">
        <f t="shared" si="1"/>
        <v>13.666666666666666</v>
      </c>
      <c r="L21" s="45"/>
      <c r="M21" s="46"/>
      <c r="N21" s="41"/>
      <c r="O21" s="57">
        <v>13</v>
      </c>
      <c r="P21" s="57">
        <v>14</v>
      </c>
      <c r="Q21" s="57">
        <v>11</v>
      </c>
      <c r="R21" s="25">
        <f t="shared" si="2"/>
        <v>12.666666666666666</v>
      </c>
      <c r="S21" s="54"/>
      <c r="T21" s="46"/>
      <c r="U21" s="41"/>
      <c r="V21" s="57">
        <v>7</v>
      </c>
      <c r="W21" s="57">
        <v>18</v>
      </c>
      <c r="X21" s="57">
        <v>13</v>
      </c>
      <c r="Y21" s="25">
        <f t="shared" si="3"/>
        <v>12.666666666666666</v>
      </c>
      <c r="Z21" s="45"/>
      <c r="AA21" s="46"/>
      <c r="AB21" s="41"/>
      <c r="AC21" s="57">
        <v>11</v>
      </c>
      <c r="AD21" s="57">
        <v>10</v>
      </c>
      <c r="AE21" s="57">
        <v>10</v>
      </c>
      <c r="AF21" s="25">
        <f t="shared" si="4"/>
        <v>10.333333333333334</v>
      </c>
      <c r="AG21" s="45"/>
      <c r="AH21" s="46"/>
      <c r="AI21" s="73"/>
      <c r="AJ21" s="57">
        <v>19</v>
      </c>
      <c r="AK21" s="57">
        <v>18</v>
      </c>
      <c r="AL21" s="57">
        <v>15</v>
      </c>
      <c r="AM21" s="25">
        <f t="shared" si="5"/>
        <v>17.333333333333332</v>
      </c>
      <c r="AN21" s="49"/>
      <c r="AO21" s="50"/>
      <c r="AP21" s="57">
        <v>7</v>
      </c>
      <c r="AQ21" s="57">
        <v>18</v>
      </c>
      <c r="AR21" s="57">
        <v>13</v>
      </c>
      <c r="AS21" s="25">
        <f t="shared" si="6"/>
        <v>12.666666666666666</v>
      </c>
      <c r="AT21" s="49"/>
      <c r="AU21" s="50"/>
      <c r="AV21" s="57">
        <v>12</v>
      </c>
      <c r="AW21" s="57">
        <v>5</v>
      </c>
      <c r="AX21" s="57">
        <v>6</v>
      </c>
      <c r="AY21" s="25">
        <f t="shared" si="7"/>
        <v>7.666666666666667</v>
      </c>
      <c r="AZ21" s="49"/>
      <c r="BA21" s="42"/>
      <c r="BB21" s="42"/>
      <c r="BC21" s="57">
        <v>11</v>
      </c>
      <c r="BD21" s="57">
        <v>13</v>
      </c>
      <c r="BE21" s="57">
        <v>8</v>
      </c>
      <c r="BF21" s="25">
        <f t="shared" si="8"/>
        <v>10.666666666666666</v>
      </c>
      <c r="BG21" s="49"/>
      <c r="BH21" s="50"/>
      <c r="BI21" s="42"/>
      <c r="BJ21" s="42">
        <v>14</v>
      </c>
      <c r="BK21" s="52">
        <v>13</v>
      </c>
      <c r="BL21" s="42">
        <v>8</v>
      </c>
      <c r="BM21" s="25">
        <f t="shared" si="9"/>
        <v>11.666666666666666</v>
      </c>
      <c r="BN21" s="49"/>
      <c r="BO21" s="50"/>
      <c r="BP21" s="41">
        <v>12</v>
      </c>
      <c r="BQ21" s="57">
        <v>7</v>
      </c>
      <c r="BR21" s="57">
        <v>13</v>
      </c>
      <c r="BS21" s="25">
        <f t="shared" si="10"/>
        <v>10.666666666666666</v>
      </c>
      <c r="BT21" s="49"/>
      <c r="BU21" s="50"/>
      <c r="BV21" s="41"/>
      <c r="BW21" s="57">
        <v>12</v>
      </c>
      <c r="BX21" s="57">
        <v>6</v>
      </c>
      <c r="BY21" s="57">
        <v>2</v>
      </c>
      <c r="BZ21" s="25">
        <f t="shared" si="11"/>
        <v>6.666666666666667</v>
      </c>
      <c r="CA21" s="49"/>
      <c r="CB21" s="50"/>
      <c r="CC21" s="41"/>
      <c r="CD21" s="57">
        <v>10</v>
      </c>
      <c r="CE21" s="57">
        <v>10</v>
      </c>
      <c r="CF21" s="57">
        <v>14</v>
      </c>
      <c r="CG21" s="76">
        <f t="shared" si="12"/>
        <v>11.333333333333334</v>
      </c>
      <c r="CH21" s="27"/>
      <c r="CI21" s="15"/>
    </row>
    <row r="22" spans="1:87" ht="14.25" customHeight="1" x14ac:dyDescent="0.2">
      <c r="A22" s="112">
        <f t="shared" si="0"/>
        <v>8</v>
      </c>
      <c r="B22" s="107"/>
      <c r="C22" s="101"/>
      <c r="D22" s="62"/>
      <c r="E22" s="39"/>
      <c r="F22" s="40"/>
      <c r="G22" s="41"/>
      <c r="H22" s="57">
        <v>16</v>
      </c>
      <c r="I22" s="57">
        <v>12</v>
      </c>
      <c r="J22" s="57">
        <v>15</v>
      </c>
      <c r="K22" s="75">
        <f t="shared" si="1"/>
        <v>14.333333333333334</v>
      </c>
      <c r="L22" s="45"/>
      <c r="M22" s="46"/>
      <c r="N22" s="41"/>
      <c r="O22" s="57">
        <v>13</v>
      </c>
      <c r="P22" s="57">
        <v>4</v>
      </c>
      <c r="Q22" s="57">
        <v>4</v>
      </c>
      <c r="R22" s="25">
        <f t="shared" si="2"/>
        <v>7</v>
      </c>
      <c r="S22" s="54"/>
      <c r="T22" s="46"/>
      <c r="U22" s="41"/>
      <c r="V22" s="57">
        <v>8</v>
      </c>
      <c r="W22" s="57">
        <v>16</v>
      </c>
      <c r="X22" s="57">
        <v>11</v>
      </c>
      <c r="Y22" s="25">
        <f t="shared" si="3"/>
        <v>11.666666666666666</v>
      </c>
      <c r="Z22" s="45"/>
      <c r="AA22" s="46"/>
      <c r="AB22" s="41"/>
      <c r="AC22" s="57">
        <v>14</v>
      </c>
      <c r="AD22" s="57">
        <v>14</v>
      </c>
      <c r="AE22" s="57">
        <v>15</v>
      </c>
      <c r="AF22" s="25">
        <f t="shared" si="4"/>
        <v>14.333333333333334</v>
      </c>
      <c r="AG22" s="45"/>
      <c r="AH22" s="46"/>
      <c r="AI22" s="73"/>
      <c r="AJ22" s="57">
        <v>19</v>
      </c>
      <c r="AK22" s="57">
        <v>17</v>
      </c>
      <c r="AL22" s="57">
        <v>2</v>
      </c>
      <c r="AM22" s="25">
        <f t="shared" si="5"/>
        <v>12.666666666666666</v>
      </c>
      <c r="AN22" s="49"/>
      <c r="AO22" s="50"/>
      <c r="AP22" s="57">
        <v>8</v>
      </c>
      <c r="AQ22" s="57">
        <v>16</v>
      </c>
      <c r="AR22" s="57">
        <v>11</v>
      </c>
      <c r="AS22" s="25">
        <f t="shared" si="6"/>
        <v>11.666666666666666</v>
      </c>
      <c r="AT22" s="49"/>
      <c r="AU22" s="50"/>
      <c r="AV22" s="57">
        <v>12</v>
      </c>
      <c r="AW22" s="57">
        <v>5</v>
      </c>
      <c r="AX22" s="57">
        <v>7</v>
      </c>
      <c r="AY22" s="25">
        <f t="shared" si="7"/>
        <v>8</v>
      </c>
      <c r="AZ22" s="49"/>
      <c r="BA22" s="42"/>
      <c r="BB22" s="42"/>
      <c r="BC22" s="57">
        <v>10</v>
      </c>
      <c r="BD22" s="57">
        <v>12</v>
      </c>
      <c r="BE22" s="57">
        <v>4</v>
      </c>
      <c r="BF22" s="25">
        <f t="shared" si="8"/>
        <v>8.6666666666666661</v>
      </c>
      <c r="BG22" s="49"/>
      <c r="BH22" s="50"/>
      <c r="BI22" s="42"/>
      <c r="BJ22" s="42">
        <v>14</v>
      </c>
      <c r="BK22" s="52">
        <v>8</v>
      </c>
      <c r="BL22" s="42">
        <v>8</v>
      </c>
      <c r="BM22" s="25">
        <f t="shared" si="9"/>
        <v>10</v>
      </c>
      <c r="BN22" s="49"/>
      <c r="BO22" s="50"/>
      <c r="BP22" s="41">
        <v>14</v>
      </c>
      <c r="BQ22" s="57">
        <v>16</v>
      </c>
      <c r="BR22" s="57">
        <v>10</v>
      </c>
      <c r="BS22" s="25">
        <f t="shared" si="10"/>
        <v>13.333333333333334</v>
      </c>
      <c r="BT22" s="49"/>
      <c r="BU22" s="50"/>
      <c r="BV22" s="41"/>
      <c r="BW22" s="57">
        <v>12</v>
      </c>
      <c r="BX22" s="57">
        <v>6</v>
      </c>
      <c r="BY22" s="57">
        <v>2</v>
      </c>
      <c r="BZ22" s="25">
        <f t="shared" si="11"/>
        <v>6.666666666666667</v>
      </c>
      <c r="CA22" s="49"/>
      <c r="CB22" s="50"/>
      <c r="CC22" s="41"/>
      <c r="CD22" s="57">
        <v>11</v>
      </c>
      <c r="CE22" s="57">
        <v>11</v>
      </c>
      <c r="CF22" s="57">
        <v>13</v>
      </c>
      <c r="CG22" s="76">
        <f t="shared" si="12"/>
        <v>11.666666666666666</v>
      </c>
      <c r="CH22" s="27"/>
      <c r="CI22" s="15"/>
    </row>
    <row r="23" spans="1:87" ht="12.75" customHeight="1" x14ac:dyDescent="0.2">
      <c r="A23" s="112">
        <f t="shared" si="0"/>
        <v>9</v>
      </c>
      <c r="B23" s="107"/>
      <c r="C23" s="101"/>
      <c r="D23" s="62"/>
      <c r="E23" s="39"/>
      <c r="F23" s="40"/>
      <c r="G23" s="41"/>
      <c r="H23" s="57">
        <v>12</v>
      </c>
      <c r="I23" s="57">
        <v>13</v>
      </c>
      <c r="J23" s="57">
        <v>12</v>
      </c>
      <c r="K23" s="25">
        <f t="shared" si="1"/>
        <v>12.333333333333334</v>
      </c>
      <c r="L23" s="45"/>
      <c r="M23" s="46"/>
      <c r="N23" s="41"/>
      <c r="O23" s="57">
        <v>12</v>
      </c>
      <c r="P23" s="57">
        <v>6</v>
      </c>
      <c r="Q23" s="57">
        <v>8</v>
      </c>
      <c r="R23" s="25">
        <f t="shared" si="2"/>
        <v>8.6666666666666661</v>
      </c>
      <c r="S23" s="54"/>
      <c r="T23" s="46"/>
      <c r="U23" s="41"/>
      <c r="V23" s="57">
        <v>8</v>
      </c>
      <c r="W23" s="57">
        <v>18</v>
      </c>
      <c r="X23" s="57">
        <v>15</v>
      </c>
      <c r="Y23" s="25">
        <f t="shared" si="3"/>
        <v>13.666666666666666</v>
      </c>
      <c r="Z23" s="45"/>
      <c r="AA23" s="46"/>
      <c r="AB23" s="41"/>
      <c r="AC23" s="57">
        <v>10</v>
      </c>
      <c r="AD23" s="57">
        <v>10</v>
      </c>
      <c r="AE23" s="57">
        <v>11</v>
      </c>
      <c r="AF23" s="25">
        <f t="shared" si="4"/>
        <v>10.333333333333334</v>
      </c>
      <c r="AG23" s="45"/>
      <c r="AH23" s="46"/>
      <c r="AI23" s="73"/>
      <c r="AJ23" s="57">
        <v>19</v>
      </c>
      <c r="AK23" s="57">
        <v>19</v>
      </c>
      <c r="AL23" s="57">
        <v>14</v>
      </c>
      <c r="AM23" s="25">
        <f t="shared" si="5"/>
        <v>17.333333333333332</v>
      </c>
      <c r="AN23" s="49"/>
      <c r="AO23" s="50"/>
      <c r="AP23" s="57">
        <v>8</v>
      </c>
      <c r="AQ23" s="57">
        <v>18</v>
      </c>
      <c r="AR23" s="57">
        <v>15</v>
      </c>
      <c r="AS23" s="25">
        <f t="shared" si="6"/>
        <v>13.666666666666666</v>
      </c>
      <c r="AT23" s="49"/>
      <c r="AU23" s="50"/>
      <c r="AV23" s="57">
        <v>12</v>
      </c>
      <c r="AW23" s="57">
        <v>8</v>
      </c>
      <c r="AX23" s="57">
        <v>9</v>
      </c>
      <c r="AY23" s="25">
        <f t="shared" si="7"/>
        <v>9.6666666666666661</v>
      </c>
      <c r="AZ23" s="49"/>
      <c r="BA23" s="42"/>
      <c r="BB23" s="42"/>
      <c r="BC23" s="57">
        <v>11</v>
      </c>
      <c r="BD23" s="57">
        <v>14</v>
      </c>
      <c r="BE23" s="57">
        <v>10</v>
      </c>
      <c r="BF23" s="25">
        <f t="shared" si="8"/>
        <v>11.666666666666666</v>
      </c>
      <c r="BG23" s="49"/>
      <c r="BH23" s="50"/>
      <c r="BI23" s="42"/>
      <c r="BJ23" s="42">
        <v>14</v>
      </c>
      <c r="BK23" s="52">
        <v>12</v>
      </c>
      <c r="BL23" s="42">
        <v>8</v>
      </c>
      <c r="BM23" s="25">
        <f t="shared" si="9"/>
        <v>11.333333333333334</v>
      </c>
      <c r="BN23" s="49"/>
      <c r="BO23" s="50"/>
      <c r="BP23" s="41">
        <v>12</v>
      </c>
      <c r="BQ23" s="57">
        <v>7</v>
      </c>
      <c r="BR23" s="57">
        <v>7</v>
      </c>
      <c r="BS23" s="25">
        <f t="shared" si="10"/>
        <v>8.6666666666666661</v>
      </c>
      <c r="BT23" s="49"/>
      <c r="BU23" s="50"/>
      <c r="BV23" s="41"/>
      <c r="BW23" s="57">
        <v>13</v>
      </c>
      <c r="BX23" s="57">
        <v>7</v>
      </c>
      <c r="BY23" s="57">
        <v>1</v>
      </c>
      <c r="BZ23" s="25">
        <f t="shared" si="11"/>
        <v>7</v>
      </c>
      <c r="CA23" s="49"/>
      <c r="CB23" s="50"/>
      <c r="CC23" s="41"/>
      <c r="CD23" s="57">
        <v>11</v>
      </c>
      <c r="CE23" s="57">
        <v>11</v>
      </c>
      <c r="CF23" s="57">
        <v>14</v>
      </c>
      <c r="CG23" s="76">
        <f t="shared" si="12"/>
        <v>12</v>
      </c>
      <c r="CH23" s="27"/>
      <c r="CI23" s="15"/>
    </row>
    <row r="24" spans="1:87" ht="12" customHeight="1" x14ac:dyDescent="0.2">
      <c r="A24" s="112">
        <f t="shared" si="0"/>
        <v>10</v>
      </c>
      <c r="B24" s="107"/>
      <c r="C24" s="101"/>
      <c r="D24" s="62"/>
      <c r="E24" s="39"/>
      <c r="F24" s="40"/>
      <c r="G24" s="41"/>
      <c r="H24" s="57">
        <v>12</v>
      </c>
      <c r="I24" s="57">
        <v>16</v>
      </c>
      <c r="J24" s="57">
        <v>11</v>
      </c>
      <c r="K24" s="25">
        <f t="shared" si="1"/>
        <v>13</v>
      </c>
      <c r="L24" s="45"/>
      <c r="M24" s="46"/>
      <c r="N24" s="41"/>
      <c r="O24" s="57">
        <v>16</v>
      </c>
      <c r="P24" s="57">
        <v>15</v>
      </c>
      <c r="Q24" s="57">
        <v>4</v>
      </c>
      <c r="R24" s="25">
        <f t="shared" si="2"/>
        <v>11.666666666666666</v>
      </c>
      <c r="S24" s="54"/>
      <c r="T24" s="46"/>
      <c r="U24" s="41"/>
      <c r="V24" s="57">
        <v>9</v>
      </c>
      <c r="W24" s="57">
        <v>16</v>
      </c>
      <c r="X24" s="57">
        <v>17</v>
      </c>
      <c r="Y24" s="25">
        <f t="shared" si="3"/>
        <v>14</v>
      </c>
      <c r="Z24" s="45"/>
      <c r="AA24" s="46"/>
      <c r="AB24" s="41"/>
      <c r="AC24" s="57">
        <v>10</v>
      </c>
      <c r="AD24" s="57">
        <v>12</v>
      </c>
      <c r="AE24" s="57">
        <v>10</v>
      </c>
      <c r="AF24" s="25">
        <f t="shared" si="4"/>
        <v>10.666666666666666</v>
      </c>
      <c r="AG24" s="45"/>
      <c r="AH24" s="46"/>
      <c r="AI24" s="73"/>
      <c r="AJ24" s="57">
        <v>19</v>
      </c>
      <c r="AK24" s="57">
        <v>19</v>
      </c>
      <c r="AL24" s="57">
        <v>15</v>
      </c>
      <c r="AM24" s="25">
        <f t="shared" si="5"/>
        <v>17.666666666666668</v>
      </c>
      <c r="AN24" s="49"/>
      <c r="AO24" s="50"/>
      <c r="AP24" s="57">
        <v>9</v>
      </c>
      <c r="AQ24" s="57">
        <v>16</v>
      </c>
      <c r="AR24" s="57">
        <v>17</v>
      </c>
      <c r="AS24" s="25">
        <f t="shared" si="6"/>
        <v>14</v>
      </c>
      <c r="AT24" s="49"/>
      <c r="AU24" s="50"/>
      <c r="AV24" s="57">
        <v>16</v>
      </c>
      <c r="AW24" s="57">
        <v>13</v>
      </c>
      <c r="AX24" s="57">
        <v>9</v>
      </c>
      <c r="AY24" s="25">
        <f t="shared" si="7"/>
        <v>12.666666666666666</v>
      </c>
      <c r="AZ24" s="49"/>
      <c r="BA24" s="42"/>
      <c r="BB24" s="42"/>
      <c r="BC24" s="57">
        <v>12</v>
      </c>
      <c r="BD24" s="57">
        <v>14</v>
      </c>
      <c r="BE24" s="57">
        <v>13</v>
      </c>
      <c r="BF24" s="25">
        <f t="shared" si="8"/>
        <v>13</v>
      </c>
      <c r="BG24" s="49"/>
      <c r="BH24" s="50"/>
      <c r="BI24" s="42"/>
      <c r="BJ24" s="42">
        <v>8</v>
      </c>
      <c r="BK24" s="52">
        <v>12</v>
      </c>
      <c r="BL24" s="42">
        <v>10</v>
      </c>
      <c r="BM24" s="25">
        <f t="shared" si="9"/>
        <v>10</v>
      </c>
      <c r="BN24" s="49"/>
      <c r="BO24" s="50"/>
      <c r="BP24" s="41">
        <v>12</v>
      </c>
      <c r="BQ24" s="57">
        <v>12</v>
      </c>
      <c r="BR24" s="57">
        <v>15</v>
      </c>
      <c r="BS24" s="25">
        <f t="shared" si="10"/>
        <v>13</v>
      </c>
      <c r="BT24" s="49"/>
      <c r="BU24" s="50"/>
      <c r="BV24" s="41"/>
      <c r="BW24" s="57">
        <v>15</v>
      </c>
      <c r="BX24" s="57">
        <v>11</v>
      </c>
      <c r="BY24" s="57">
        <v>18</v>
      </c>
      <c r="BZ24" s="25">
        <f t="shared" si="11"/>
        <v>14.666666666666666</v>
      </c>
      <c r="CA24" s="49"/>
      <c r="CB24" s="50"/>
      <c r="CC24" s="41"/>
      <c r="CD24" s="57">
        <v>12</v>
      </c>
      <c r="CE24" s="57">
        <v>12</v>
      </c>
      <c r="CF24" s="57">
        <v>18</v>
      </c>
      <c r="CG24" s="76">
        <f t="shared" si="12"/>
        <v>14</v>
      </c>
      <c r="CH24" s="27"/>
      <c r="CI24" s="15"/>
    </row>
    <row r="25" spans="1:87" ht="12.75" customHeight="1" x14ac:dyDescent="0.2">
      <c r="A25" s="112">
        <f t="shared" si="0"/>
        <v>11</v>
      </c>
      <c r="B25" s="107"/>
      <c r="C25" s="101"/>
      <c r="D25" s="62"/>
      <c r="E25" s="39"/>
      <c r="F25" s="40"/>
      <c r="G25" s="41"/>
      <c r="H25" s="57">
        <v>15</v>
      </c>
      <c r="I25" s="57">
        <v>13</v>
      </c>
      <c r="J25" s="57">
        <v>13</v>
      </c>
      <c r="K25" s="88">
        <f t="shared" si="1"/>
        <v>13.666666666666666</v>
      </c>
      <c r="L25" s="45"/>
      <c r="M25" s="46"/>
      <c r="N25" s="41"/>
      <c r="O25" s="57">
        <v>17</v>
      </c>
      <c r="P25" s="57">
        <v>7</v>
      </c>
      <c r="Q25" s="57">
        <v>7</v>
      </c>
      <c r="R25" s="25">
        <f t="shared" si="2"/>
        <v>10.333333333333334</v>
      </c>
      <c r="S25" s="54"/>
      <c r="T25" s="46"/>
      <c r="U25" s="41"/>
      <c r="V25" s="57">
        <v>10</v>
      </c>
      <c r="W25" s="57">
        <v>15</v>
      </c>
      <c r="X25" s="57">
        <v>14</v>
      </c>
      <c r="Y25" s="25">
        <f t="shared" si="3"/>
        <v>13</v>
      </c>
      <c r="Z25" s="45"/>
      <c r="AA25" s="46"/>
      <c r="AB25" s="41"/>
      <c r="AC25" s="57">
        <v>12</v>
      </c>
      <c r="AD25" s="57">
        <v>11</v>
      </c>
      <c r="AE25" s="57">
        <v>11</v>
      </c>
      <c r="AF25" s="25">
        <f t="shared" si="4"/>
        <v>11.333333333333334</v>
      </c>
      <c r="AG25" s="45"/>
      <c r="AH25" s="46"/>
      <c r="AI25" s="73"/>
      <c r="AJ25" s="57">
        <v>15</v>
      </c>
      <c r="AK25" s="57">
        <v>13</v>
      </c>
      <c r="AL25" s="57">
        <v>7</v>
      </c>
      <c r="AM25" s="25">
        <f t="shared" si="5"/>
        <v>11.666666666666666</v>
      </c>
      <c r="AN25" s="49"/>
      <c r="AO25" s="50"/>
      <c r="AP25" s="57">
        <v>10</v>
      </c>
      <c r="AQ25" s="57">
        <v>15</v>
      </c>
      <c r="AR25" s="57">
        <v>14</v>
      </c>
      <c r="AS25" s="25">
        <f t="shared" si="6"/>
        <v>13</v>
      </c>
      <c r="AT25" s="49"/>
      <c r="AU25" s="50"/>
      <c r="AV25" s="57">
        <v>12</v>
      </c>
      <c r="AW25" s="57">
        <v>9</v>
      </c>
      <c r="AX25" s="57">
        <v>8</v>
      </c>
      <c r="AY25" s="25">
        <f t="shared" si="7"/>
        <v>9.6666666666666661</v>
      </c>
      <c r="AZ25" s="49"/>
      <c r="BA25" s="42"/>
      <c r="BB25" s="42"/>
      <c r="BC25" s="57">
        <v>10</v>
      </c>
      <c r="BD25" s="57">
        <v>14</v>
      </c>
      <c r="BE25" s="57">
        <v>4</v>
      </c>
      <c r="BF25" s="25">
        <f t="shared" si="8"/>
        <v>9.3333333333333339</v>
      </c>
      <c r="BG25" s="49"/>
      <c r="BH25" s="50"/>
      <c r="BI25" s="42"/>
      <c r="BJ25" s="42">
        <v>14</v>
      </c>
      <c r="BK25" s="52">
        <v>12</v>
      </c>
      <c r="BL25" s="42">
        <v>9</v>
      </c>
      <c r="BM25" s="25">
        <f t="shared" si="9"/>
        <v>11.666666666666666</v>
      </c>
      <c r="BN25" s="49"/>
      <c r="BO25" s="50"/>
      <c r="BP25" s="41">
        <v>12</v>
      </c>
      <c r="BQ25" s="57">
        <v>15</v>
      </c>
      <c r="BR25" s="57">
        <v>7</v>
      </c>
      <c r="BS25" s="25">
        <f t="shared" si="10"/>
        <v>11.333333333333334</v>
      </c>
      <c r="BT25" s="49"/>
      <c r="BU25" s="50"/>
      <c r="BV25" s="41"/>
      <c r="BW25" s="57">
        <v>13</v>
      </c>
      <c r="BX25" s="57">
        <v>4</v>
      </c>
      <c r="BY25" s="57">
        <v>2</v>
      </c>
      <c r="BZ25" s="25">
        <f t="shared" si="11"/>
        <v>6.333333333333333</v>
      </c>
      <c r="CA25" s="49"/>
      <c r="CB25" s="50"/>
      <c r="CC25" s="41"/>
      <c r="CD25" s="57">
        <v>12</v>
      </c>
      <c r="CE25" s="57">
        <v>12</v>
      </c>
      <c r="CF25" s="57">
        <v>16</v>
      </c>
      <c r="CG25" s="76">
        <f t="shared" si="12"/>
        <v>13.333333333333334</v>
      </c>
      <c r="CH25" s="27"/>
      <c r="CI25" s="15"/>
    </row>
    <row r="26" spans="1:87" ht="12" customHeight="1" x14ac:dyDescent="0.2">
      <c r="A26" s="112">
        <f t="shared" si="0"/>
        <v>12</v>
      </c>
      <c r="B26" s="107"/>
      <c r="C26" s="101"/>
      <c r="D26" s="62"/>
      <c r="E26" s="39"/>
      <c r="F26" s="40"/>
      <c r="G26" s="41"/>
      <c r="H26" s="57">
        <v>16</v>
      </c>
      <c r="I26" s="57">
        <v>19</v>
      </c>
      <c r="J26" s="57">
        <v>12</v>
      </c>
      <c r="K26" s="25">
        <f t="shared" si="1"/>
        <v>15.666666666666666</v>
      </c>
      <c r="L26" s="45"/>
      <c r="M26" s="46"/>
      <c r="N26" s="41"/>
      <c r="O26" s="57">
        <v>15</v>
      </c>
      <c r="P26" s="57">
        <v>18</v>
      </c>
      <c r="Q26" s="57">
        <v>9</v>
      </c>
      <c r="R26" s="25">
        <f t="shared" si="2"/>
        <v>14</v>
      </c>
      <c r="S26" s="54"/>
      <c r="T26" s="46"/>
      <c r="U26" s="41"/>
      <c r="V26" s="57">
        <v>8</v>
      </c>
      <c r="W26" s="57">
        <v>16</v>
      </c>
      <c r="X26" s="57">
        <v>18</v>
      </c>
      <c r="Y26" s="25">
        <f t="shared" si="3"/>
        <v>14</v>
      </c>
      <c r="Z26" s="45"/>
      <c r="AA26" s="46"/>
      <c r="AB26" s="41"/>
      <c r="AC26" s="58">
        <v>13</v>
      </c>
      <c r="AD26" s="58">
        <v>12</v>
      </c>
      <c r="AE26" s="58">
        <v>12</v>
      </c>
      <c r="AF26" s="25">
        <f t="shared" si="4"/>
        <v>12.333333333333334</v>
      </c>
      <c r="AG26" s="45"/>
      <c r="AH26" s="46"/>
      <c r="AI26" s="73"/>
      <c r="AJ26" s="57">
        <v>19</v>
      </c>
      <c r="AK26" s="57">
        <v>19</v>
      </c>
      <c r="AL26" s="57">
        <v>18</v>
      </c>
      <c r="AM26" s="25">
        <f t="shared" si="5"/>
        <v>18.666666666666668</v>
      </c>
      <c r="AN26" s="49"/>
      <c r="AO26" s="50"/>
      <c r="AP26" s="57">
        <v>8</v>
      </c>
      <c r="AQ26" s="57">
        <v>16</v>
      </c>
      <c r="AR26" s="57">
        <v>18</v>
      </c>
      <c r="AS26" s="25">
        <f t="shared" si="6"/>
        <v>14</v>
      </c>
      <c r="AT26" s="49"/>
      <c r="AU26" s="50"/>
      <c r="AV26" s="57">
        <v>12</v>
      </c>
      <c r="AW26" s="57">
        <v>6</v>
      </c>
      <c r="AX26" s="57">
        <v>17</v>
      </c>
      <c r="AY26" s="25">
        <f t="shared" si="7"/>
        <v>11.666666666666666</v>
      </c>
      <c r="AZ26" s="49"/>
      <c r="BA26" s="42"/>
      <c r="BB26" s="42"/>
      <c r="BC26" s="57">
        <v>10</v>
      </c>
      <c r="BD26" s="57">
        <v>13</v>
      </c>
      <c r="BE26" s="57">
        <v>14</v>
      </c>
      <c r="BF26" s="25">
        <f t="shared" si="8"/>
        <v>12.333333333333334</v>
      </c>
      <c r="BG26" s="49"/>
      <c r="BH26" s="50"/>
      <c r="BI26" s="42"/>
      <c r="BJ26" s="42">
        <v>14</v>
      </c>
      <c r="BK26" s="52">
        <v>15</v>
      </c>
      <c r="BL26" s="42">
        <v>11</v>
      </c>
      <c r="BM26" s="25">
        <f t="shared" si="9"/>
        <v>13.333333333333334</v>
      </c>
      <c r="BN26" s="49"/>
      <c r="BO26" s="50"/>
      <c r="BP26" s="41">
        <v>15</v>
      </c>
      <c r="BQ26" s="57">
        <v>17</v>
      </c>
      <c r="BR26" s="57">
        <v>17</v>
      </c>
      <c r="BS26" s="25">
        <f t="shared" si="10"/>
        <v>16.333333333333332</v>
      </c>
      <c r="BT26" s="49"/>
      <c r="BU26" s="50"/>
      <c r="BV26" s="41"/>
      <c r="BW26" s="57">
        <v>14</v>
      </c>
      <c r="BX26" s="74">
        <v>11</v>
      </c>
      <c r="BY26" s="57">
        <v>16</v>
      </c>
      <c r="BZ26" s="25">
        <f t="shared" si="11"/>
        <v>13.666666666666666</v>
      </c>
      <c r="CA26" s="49"/>
      <c r="CB26" s="50"/>
      <c r="CC26" s="41"/>
      <c r="CD26" s="57">
        <v>12</v>
      </c>
      <c r="CE26" s="57">
        <v>12</v>
      </c>
      <c r="CF26" s="57">
        <v>16</v>
      </c>
      <c r="CG26" s="76">
        <f t="shared" si="12"/>
        <v>13.333333333333334</v>
      </c>
      <c r="CH26" s="27"/>
      <c r="CI26" s="15"/>
    </row>
    <row r="27" spans="1:87" ht="15" customHeight="1" x14ac:dyDescent="0.2">
      <c r="A27" s="112">
        <f t="shared" si="0"/>
        <v>13</v>
      </c>
      <c r="B27" s="107"/>
      <c r="C27" s="100"/>
      <c r="D27" s="62"/>
      <c r="E27" s="39"/>
      <c r="F27" s="40"/>
      <c r="G27" s="41"/>
      <c r="H27" s="57">
        <v>13</v>
      </c>
      <c r="I27" s="57">
        <v>16</v>
      </c>
      <c r="J27" s="57">
        <v>14</v>
      </c>
      <c r="K27" s="25">
        <f t="shared" si="1"/>
        <v>14.333333333333334</v>
      </c>
      <c r="L27" s="45"/>
      <c r="M27" s="46"/>
      <c r="N27" s="41"/>
      <c r="O27" s="57">
        <v>14</v>
      </c>
      <c r="P27" s="57">
        <v>10</v>
      </c>
      <c r="Q27" s="57">
        <v>6</v>
      </c>
      <c r="R27" s="25">
        <f t="shared" si="2"/>
        <v>10</v>
      </c>
      <c r="S27" s="54"/>
      <c r="T27" s="46"/>
      <c r="U27" s="41"/>
      <c r="V27" s="57">
        <v>5</v>
      </c>
      <c r="W27" s="57">
        <v>8</v>
      </c>
      <c r="X27" s="57">
        <v>18</v>
      </c>
      <c r="Y27" s="25">
        <f t="shared" si="3"/>
        <v>10.333333333333334</v>
      </c>
      <c r="Z27" s="45"/>
      <c r="AA27" s="46"/>
      <c r="AB27" s="41"/>
      <c r="AC27" s="57">
        <v>10</v>
      </c>
      <c r="AD27" s="57">
        <v>5</v>
      </c>
      <c r="AE27" s="57">
        <v>5</v>
      </c>
      <c r="AF27" s="25">
        <f t="shared" si="4"/>
        <v>6.666666666666667</v>
      </c>
      <c r="AG27" s="45"/>
      <c r="AH27" s="46"/>
      <c r="AI27" s="73"/>
      <c r="AJ27" s="57">
        <v>19</v>
      </c>
      <c r="AK27" s="57">
        <v>19</v>
      </c>
      <c r="AL27" s="57">
        <v>16</v>
      </c>
      <c r="AM27" s="25">
        <f t="shared" si="5"/>
        <v>18</v>
      </c>
      <c r="AN27" s="49"/>
      <c r="AO27" s="50"/>
      <c r="AP27" s="57">
        <v>5</v>
      </c>
      <c r="AQ27" s="57">
        <v>8</v>
      </c>
      <c r="AR27" s="57">
        <v>18</v>
      </c>
      <c r="AS27" s="25">
        <f t="shared" si="6"/>
        <v>10.333333333333334</v>
      </c>
      <c r="AT27" s="49"/>
      <c r="AU27" s="50"/>
      <c r="AV27" s="57">
        <v>14</v>
      </c>
      <c r="AW27" s="57">
        <v>11</v>
      </c>
      <c r="AX27" s="57">
        <v>9</v>
      </c>
      <c r="AY27" s="25">
        <f t="shared" si="7"/>
        <v>11.333333333333334</v>
      </c>
      <c r="AZ27" s="49"/>
      <c r="BA27" s="42"/>
      <c r="BB27" s="42"/>
      <c r="BC27" s="57">
        <v>11</v>
      </c>
      <c r="BD27" s="57">
        <v>12</v>
      </c>
      <c r="BE27" s="57">
        <v>10</v>
      </c>
      <c r="BF27" s="25">
        <f t="shared" si="8"/>
        <v>11</v>
      </c>
      <c r="BG27" s="49"/>
      <c r="BH27" s="50"/>
      <c r="BI27" s="42"/>
      <c r="BJ27" s="42">
        <v>8</v>
      </c>
      <c r="BK27" s="52">
        <v>2</v>
      </c>
      <c r="BL27" s="42">
        <v>10</v>
      </c>
      <c r="BM27" s="25">
        <f t="shared" si="9"/>
        <v>6.666666666666667</v>
      </c>
      <c r="BN27" s="49"/>
      <c r="BO27" s="50"/>
      <c r="BP27" s="41">
        <v>13</v>
      </c>
      <c r="BQ27" s="57">
        <v>7</v>
      </c>
      <c r="BR27" s="57">
        <v>14</v>
      </c>
      <c r="BS27" s="25">
        <f t="shared" si="10"/>
        <v>11.333333333333334</v>
      </c>
      <c r="BT27" s="49"/>
      <c r="BU27" s="50"/>
      <c r="BV27" s="41"/>
      <c r="BW27" s="77">
        <v>10</v>
      </c>
      <c r="BX27" s="57">
        <v>4</v>
      </c>
      <c r="BY27" s="78">
        <v>6</v>
      </c>
      <c r="BZ27" s="25">
        <f t="shared" si="11"/>
        <v>6.666666666666667</v>
      </c>
      <c r="CA27" s="49"/>
      <c r="CB27" s="50"/>
      <c r="CC27" s="41"/>
      <c r="CD27" s="57">
        <v>10</v>
      </c>
      <c r="CE27" s="57">
        <v>10</v>
      </c>
      <c r="CF27" s="57">
        <v>18</v>
      </c>
      <c r="CG27" s="76">
        <f t="shared" si="12"/>
        <v>12.666666666666666</v>
      </c>
      <c r="CH27" s="27"/>
      <c r="CI27" s="15"/>
    </row>
    <row r="28" spans="1:87" ht="13.5" customHeight="1" x14ac:dyDescent="0.2">
      <c r="A28" s="112">
        <f t="shared" si="0"/>
        <v>14</v>
      </c>
      <c r="B28" s="107"/>
      <c r="C28" s="101"/>
      <c r="D28" s="62"/>
      <c r="E28" s="39"/>
      <c r="F28" s="40"/>
      <c r="G28" s="41"/>
      <c r="H28" s="57">
        <v>16</v>
      </c>
      <c r="I28" s="57">
        <v>19</v>
      </c>
      <c r="J28" s="57">
        <v>15</v>
      </c>
      <c r="K28" s="88">
        <f t="shared" si="1"/>
        <v>16.666666666666668</v>
      </c>
      <c r="L28" s="45"/>
      <c r="M28" s="46"/>
      <c r="N28" s="41"/>
      <c r="O28" s="57">
        <v>13</v>
      </c>
      <c r="P28" s="57">
        <v>10</v>
      </c>
      <c r="Q28" s="57">
        <v>8</v>
      </c>
      <c r="R28" s="25">
        <f t="shared" si="2"/>
        <v>10.333333333333334</v>
      </c>
      <c r="S28" s="54"/>
      <c r="T28" s="46"/>
      <c r="U28" s="41"/>
      <c r="V28" s="57">
        <v>9</v>
      </c>
      <c r="W28" s="57">
        <v>16</v>
      </c>
      <c r="X28" s="57">
        <v>15</v>
      </c>
      <c r="Y28" s="25">
        <f t="shared" si="3"/>
        <v>13.333333333333334</v>
      </c>
      <c r="Z28" s="45"/>
      <c r="AA28" s="46"/>
      <c r="AB28" s="41"/>
      <c r="AC28" s="57">
        <v>10</v>
      </c>
      <c r="AD28" s="57">
        <v>12</v>
      </c>
      <c r="AE28" s="57">
        <v>10</v>
      </c>
      <c r="AF28" s="25">
        <f t="shared" si="4"/>
        <v>10.666666666666666</v>
      </c>
      <c r="AG28" s="45"/>
      <c r="AH28" s="46"/>
      <c r="AI28" s="73"/>
      <c r="AJ28" s="57">
        <v>20</v>
      </c>
      <c r="AK28" s="57">
        <v>20</v>
      </c>
      <c r="AL28" s="57">
        <v>20</v>
      </c>
      <c r="AM28" s="25">
        <f t="shared" si="5"/>
        <v>20</v>
      </c>
      <c r="AN28" s="49"/>
      <c r="AO28" s="50"/>
      <c r="AP28" s="57">
        <v>9</v>
      </c>
      <c r="AQ28" s="57">
        <v>16</v>
      </c>
      <c r="AR28" s="57">
        <v>15</v>
      </c>
      <c r="AS28" s="25">
        <f t="shared" si="6"/>
        <v>13.333333333333334</v>
      </c>
      <c r="AT28" s="49"/>
      <c r="AU28" s="50"/>
      <c r="AV28" s="57">
        <v>14</v>
      </c>
      <c r="AW28" s="57">
        <v>13</v>
      </c>
      <c r="AX28" s="57">
        <v>12</v>
      </c>
      <c r="AY28" s="25">
        <f t="shared" si="7"/>
        <v>13</v>
      </c>
      <c r="AZ28" s="49"/>
      <c r="BA28" s="42"/>
      <c r="BB28" s="42"/>
      <c r="BC28" s="57">
        <v>12</v>
      </c>
      <c r="BD28" s="57">
        <v>14</v>
      </c>
      <c r="BE28" s="57">
        <v>11</v>
      </c>
      <c r="BF28" s="25">
        <f t="shared" si="8"/>
        <v>12.333333333333334</v>
      </c>
      <c r="BG28" s="49"/>
      <c r="BH28" s="50"/>
      <c r="BI28" s="42"/>
      <c r="BJ28" s="42">
        <v>14</v>
      </c>
      <c r="BK28" s="52">
        <v>8</v>
      </c>
      <c r="BL28" s="42">
        <v>10</v>
      </c>
      <c r="BM28" s="25">
        <f t="shared" si="9"/>
        <v>10.666666666666666</v>
      </c>
      <c r="BN28" s="49"/>
      <c r="BO28" s="50"/>
      <c r="BP28" s="41">
        <v>15</v>
      </c>
      <c r="BQ28" s="57">
        <v>16</v>
      </c>
      <c r="BR28" s="57">
        <v>16</v>
      </c>
      <c r="BS28" s="25">
        <f t="shared" si="10"/>
        <v>15.666666666666666</v>
      </c>
      <c r="BT28" s="49"/>
      <c r="BU28" s="50"/>
      <c r="BV28" s="41"/>
      <c r="BW28" s="57">
        <v>14</v>
      </c>
      <c r="BX28" s="56">
        <v>10</v>
      </c>
      <c r="BY28" s="57">
        <v>10</v>
      </c>
      <c r="BZ28" s="25">
        <f t="shared" si="11"/>
        <v>11.333333333333334</v>
      </c>
      <c r="CA28" s="49"/>
      <c r="CB28" s="50"/>
      <c r="CC28" s="41"/>
      <c r="CD28" s="57">
        <v>13</v>
      </c>
      <c r="CE28" s="57">
        <v>13</v>
      </c>
      <c r="CF28" s="57">
        <v>18</v>
      </c>
      <c r="CG28" s="76">
        <f t="shared" si="12"/>
        <v>14.666666666666666</v>
      </c>
      <c r="CH28" s="27"/>
      <c r="CI28" s="15"/>
    </row>
    <row r="29" spans="1:87" ht="14.25" customHeight="1" x14ac:dyDescent="0.2">
      <c r="A29" s="112">
        <f t="shared" si="0"/>
        <v>15</v>
      </c>
      <c r="B29" s="107"/>
      <c r="C29" s="101"/>
      <c r="D29" s="62"/>
      <c r="E29" s="39"/>
      <c r="F29" s="40"/>
      <c r="G29" s="41"/>
      <c r="H29" s="74">
        <v>17</v>
      </c>
      <c r="I29" s="74">
        <v>16</v>
      </c>
      <c r="J29" s="74">
        <v>16</v>
      </c>
      <c r="K29" s="75">
        <f t="shared" si="1"/>
        <v>16.333333333333332</v>
      </c>
      <c r="L29" s="45"/>
      <c r="M29" s="46"/>
      <c r="N29" s="41"/>
      <c r="O29" s="57">
        <v>13</v>
      </c>
      <c r="P29" s="57">
        <v>8</v>
      </c>
      <c r="Q29" s="57">
        <v>6</v>
      </c>
      <c r="R29" s="25">
        <f t="shared" si="2"/>
        <v>9</v>
      </c>
      <c r="S29" s="54"/>
      <c r="T29" s="46"/>
      <c r="U29" s="41"/>
      <c r="V29" s="57">
        <v>13</v>
      </c>
      <c r="W29" s="57">
        <v>16</v>
      </c>
      <c r="X29" s="57">
        <v>19</v>
      </c>
      <c r="Y29" s="25">
        <f t="shared" si="3"/>
        <v>16</v>
      </c>
      <c r="Z29" s="45"/>
      <c r="AA29" s="46"/>
      <c r="AB29" s="41"/>
      <c r="AC29" s="57">
        <v>12</v>
      </c>
      <c r="AD29" s="57">
        <v>11</v>
      </c>
      <c r="AE29" s="57">
        <v>12</v>
      </c>
      <c r="AF29" s="25">
        <f t="shared" si="4"/>
        <v>11.666666666666666</v>
      </c>
      <c r="AG29" s="45"/>
      <c r="AH29" s="46"/>
      <c r="AI29" s="73"/>
      <c r="AJ29" s="57">
        <v>16</v>
      </c>
      <c r="AK29" s="57">
        <v>14</v>
      </c>
      <c r="AL29" s="57">
        <v>15</v>
      </c>
      <c r="AM29" s="25">
        <f t="shared" si="5"/>
        <v>15</v>
      </c>
      <c r="AN29" s="49"/>
      <c r="AO29" s="50"/>
      <c r="AP29" s="57">
        <v>13</v>
      </c>
      <c r="AQ29" s="57">
        <v>16</v>
      </c>
      <c r="AR29" s="57">
        <v>19</v>
      </c>
      <c r="AS29" s="25">
        <f t="shared" si="6"/>
        <v>16</v>
      </c>
      <c r="AT29" s="49"/>
      <c r="AU29" s="50"/>
      <c r="AV29" s="57">
        <v>12</v>
      </c>
      <c r="AW29" s="57">
        <v>6</v>
      </c>
      <c r="AX29" s="57">
        <v>16</v>
      </c>
      <c r="AY29" s="25">
        <f t="shared" si="7"/>
        <v>11.333333333333334</v>
      </c>
      <c r="AZ29" s="49"/>
      <c r="BA29" s="42"/>
      <c r="BB29" s="42"/>
      <c r="BC29" s="57">
        <v>10</v>
      </c>
      <c r="BD29" s="57">
        <v>12</v>
      </c>
      <c r="BE29" s="57">
        <v>8</v>
      </c>
      <c r="BF29" s="25">
        <f t="shared" si="8"/>
        <v>10</v>
      </c>
      <c r="BG29" s="49"/>
      <c r="BH29" s="50"/>
      <c r="BI29" s="42"/>
      <c r="BJ29" s="42">
        <v>14</v>
      </c>
      <c r="BK29" s="52">
        <v>14</v>
      </c>
      <c r="BL29" s="42">
        <v>10</v>
      </c>
      <c r="BM29" s="25">
        <f t="shared" si="9"/>
        <v>12.666666666666666</v>
      </c>
      <c r="BN29" s="49"/>
      <c r="BO29" s="50"/>
      <c r="BP29" s="41">
        <v>12</v>
      </c>
      <c r="BQ29" s="57">
        <v>13</v>
      </c>
      <c r="BR29" s="57">
        <v>11</v>
      </c>
      <c r="BS29" s="25">
        <f t="shared" si="10"/>
        <v>12</v>
      </c>
      <c r="BT29" s="49"/>
      <c r="BU29" s="50"/>
      <c r="BV29" s="41"/>
      <c r="BW29" s="57">
        <v>15</v>
      </c>
      <c r="BX29" s="57">
        <v>11</v>
      </c>
      <c r="BY29" s="57">
        <v>15</v>
      </c>
      <c r="BZ29" s="25">
        <f t="shared" si="11"/>
        <v>13.666666666666666</v>
      </c>
      <c r="CA29" s="49"/>
      <c r="CB29" s="50"/>
      <c r="CC29" s="41"/>
      <c r="CD29" s="57">
        <v>14</v>
      </c>
      <c r="CE29" s="57">
        <v>14</v>
      </c>
      <c r="CF29" s="57">
        <v>18</v>
      </c>
      <c r="CG29" s="76">
        <f t="shared" si="12"/>
        <v>15.333333333333334</v>
      </c>
      <c r="CH29" s="27"/>
      <c r="CI29" s="15"/>
    </row>
    <row r="30" spans="1:87" ht="13.5" customHeight="1" x14ac:dyDescent="0.2">
      <c r="A30" s="112">
        <f t="shared" si="0"/>
        <v>16</v>
      </c>
      <c r="B30" s="107"/>
      <c r="C30" s="101"/>
      <c r="D30" s="62"/>
      <c r="E30" s="39"/>
      <c r="F30" s="40"/>
      <c r="G30" s="73"/>
      <c r="H30" s="57">
        <v>7</v>
      </c>
      <c r="I30" s="57">
        <v>11</v>
      </c>
      <c r="J30" s="57">
        <v>13</v>
      </c>
      <c r="K30" s="117">
        <f t="shared" si="1"/>
        <v>10.333333333333334</v>
      </c>
      <c r="L30" s="54"/>
      <c r="M30" s="46"/>
      <c r="N30" s="41"/>
      <c r="O30" s="57">
        <v>14</v>
      </c>
      <c r="P30" s="57">
        <v>13</v>
      </c>
      <c r="Q30" s="57">
        <v>7</v>
      </c>
      <c r="R30" s="25">
        <f t="shared" si="2"/>
        <v>11.333333333333334</v>
      </c>
      <c r="S30" s="54"/>
      <c r="T30" s="46"/>
      <c r="U30" s="41"/>
      <c r="V30" s="57">
        <v>5</v>
      </c>
      <c r="W30" s="57">
        <v>19</v>
      </c>
      <c r="X30" s="57">
        <v>13</v>
      </c>
      <c r="Y30" s="25">
        <f t="shared" si="3"/>
        <v>12.333333333333334</v>
      </c>
      <c r="Z30" s="45"/>
      <c r="AA30" s="46"/>
      <c r="AB30" s="41"/>
      <c r="AC30" s="57">
        <v>12</v>
      </c>
      <c r="AD30" s="57">
        <v>10</v>
      </c>
      <c r="AE30" s="57">
        <v>11</v>
      </c>
      <c r="AF30" s="25">
        <f t="shared" si="4"/>
        <v>11</v>
      </c>
      <c r="AG30" s="45"/>
      <c r="AH30" s="46"/>
      <c r="AI30" s="73"/>
      <c r="AJ30" s="57">
        <v>19</v>
      </c>
      <c r="AK30" s="57">
        <v>13</v>
      </c>
      <c r="AL30" s="57">
        <v>11</v>
      </c>
      <c r="AM30" s="25">
        <f t="shared" si="5"/>
        <v>14.333333333333334</v>
      </c>
      <c r="AN30" s="49"/>
      <c r="AO30" s="50"/>
      <c r="AP30" s="57">
        <v>5</v>
      </c>
      <c r="AQ30" s="57">
        <v>19</v>
      </c>
      <c r="AR30" s="57">
        <v>13</v>
      </c>
      <c r="AS30" s="25">
        <f t="shared" si="6"/>
        <v>12.333333333333334</v>
      </c>
      <c r="AT30" s="49"/>
      <c r="AU30" s="50"/>
      <c r="AV30" s="57">
        <v>14</v>
      </c>
      <c r="AW30" s="57">
        <v>5</v>
      </c>
      <c r="AX30" s="57">
        <v>16</v>
      </c>
      <c r="AY30" s="25">
        <f t="shared" si="7"/>
        <v>11.666666666666666</v>
      </c>
      <c r="AZ30" s="49"/>
      <c r="BA30" s="42"/>
      <c r="BB30" s="42"/>
      <c r="BC30" s="57">
        <v>10</v>
      </c>
      <c r="BD30" s="57">
        <v>14</v>
      </c>
      <c r="BE30" s="57">
        <v>6</v>
      </c>
      <c r="BF30" s="25">
        <f t="shared" si="8"/>
        <v>10</v>
      </c>
      <c r="BG30" s="49"/>
      <c r="BH30" s="50"/>
      <c r="BI30" s="42"/>
      <c r="BJ30" s="42">
        <v>14</v>
      </c>
      <c r="BK30" s="52">
        <v>13</v>
      </c>
      <c r="BL30" s="42">
        <v>9</v>
      </c>
      <c r="BM30" s="25">
        <f t="shared" si="9"/>
        <v>12</v>
      </c>
      <c r="BN30" s="49"/>
      <c r="BO30" s="50"/>
      <c r="BP30" s="41">
        <v>12</v>
      </c>
      <c r="BQ30" s="57">
        <v>14</v>
      </c>
      <c r="BR30" s="57">
        <v>14</v>
      </c>
      <c r="BS30" s="25">
        <f t="shared" si="10"/>
        <v>13.333333333333334</v>
      </c>
      <c r="BT30" s="49"/>
      <c r="BU30" s="50"/>
      <c r="BV30" s="41"/>
      <c r="BW30" s="57">
        <v>14</v>
      </c>
      <c r="BX30" s="57">
        <v>7</v>
      </c>
      <c r="BY30" s="57">
        <v>11</v>
      </c>
      <c r="BZ30" s="25">
        <f t="shared" si="11"/>
        <v>10.666666666666666</v>
      </c>
      <c r="CA30" s="49"/>
      <c r="CB30" s="50"/>
      <c r="CC30" s="41"/>
      <c r="CD30" s="57">
        <v>14</v>
      </c>
      <c r="CE30" s="57">
        <v>14</v>
      </c>
      <c r="CF30" s="57">
        <v>13</v>
      </c>
      <c r="CG30" s="76">
        <f t="shared" si="12"/>
        <v>13.666666666666666</v>
      </c>
      <c r="CH30" s="27"/>
      <c r="CI30" s="15"/>
    </row>
    <row r="31" spans="1:87" ht="13.5" x14ac:dyDescent="0.2">
      <c r="A31" s="113">
        <f t="shared" si="0"/>
        <v>17</v>
      </c>
      <c r="B31" s="107"/>
      <c r="C31" s="101"/>
      <c r="D31" s="62"/>
      <c r="E31" s="39"/>
      <c r="F31" s="40"/>
      <c r="G31" s="41"/>
      <c r="H31" s="56">
        <v>13</v>
      </c>
      <c r="I31" s="56">
        <v>16</v>
      </c>
      <c r="J31" s="56">
        <v>13</v>
      </c>
      <c r="K31" s="88">
        <f t="shared" si="1"/>
        <v>14</v>
      </c>
      <c r="L31" s="45"/>
      <c r="M31" s="46"/>
      <c r="N31" s="41"/>
      <c r="O31" s="57">
        <v>16</v>
      </c>
      <c r="P31" s="57">
        <v>16</v>
      </c>
      <c r="Q31" s="57">
        <v>14</v>
      </c>
      <c r="R31" s="25">
        <f t="shared" si="2"/>
        <v>15.333333333333334</v>
      </c>
      <c r="S31" s="54"/>
      <c r="T31" s="46"/>
      <c r="U31" s="41"/>
      <c r="V31" s="57">
        <v>7</v>
      </c>
      <c r="W31" s="57">
        <v>16</v>
      </c>
      <c r="X31" s="57">
        <v>18</v>
      </c>
      <c r="Y31" s="25">
        <f t="shared" si="3"/>
        <v>13.666666666666666</v>
      </c>
      <c r="Z31" s="45"/>
      <c r="AA31" s="46"/>
      <c r="AB31" s="41"/>
      <c r="AC31" s="57">
        <v>15</v>
      </c>
      <c r="AD31" s="57">
        <v>16</v>
      </c>
      <c r="AE31" s="57">
        <v>16</v>
      </c>
      <c r="AF31" s="25">
        <f t="shared" si="4"/>
        <v>15.666666666666666</v>
      </c>
      <c r="AG31" s="45"/>
      <c r="AH31" s="46"/>
      <c r="AI31" s="73"/>
      <c r="AJ31" s="57">
        <v>19</v>
      </c>
      <c r="AK31" s="57">
        <v>19</v>
      </c>
      <c r="AL31" s="57">
        <v>18</v>
      </c>
      <c r="AM31" s="25">
        <f t="shared" si="5"/>
        <v>18.666666666666668</v>
      </c>
      <c r="AN31" s="49"/>
      <c r="AO31" s="50"/>
      <c r="AP31" s="57">
        <v>7</v>
      </c>
      <c r="AQ31" s="57">
        <v>16</v>
      </c>
      <c r="AR31" s="57">
        <v>18</v>
      </c>
      <c r="AS31" s="25">
        <f t="shared" si="6"/>
        <v>13.666666666666666</v>
      </c>
      <c r="AT31" s="49"/>
      <c r="AU31" s="50"/>
      <c r="AV31" s="57">
        <v>14</v>
      </c>
      <c r="AW31" s="57">
        <v>9</v>
      </c>
      <c r="AX31" s="57">
        <v>16</v>
      </c>
      <c r="AY31" s="25">
        <f t="shared" si="7"/>
        <v>13</v>
      </c>
      <c r="AZ31" s="49"/>
      <c r="BA31" s="42"/>
      <c r="BB31" s="42"/>
      <c r="BC31" s="57">
        <v>12</v>
      </c>
      <c r="BD31" s="57">
        <v>13</v>
      </c>
      <c r="BE31" s="57">
        <v>17</v>
      </c>
      <c r="BF31" s="25">
        <f t="shared" si="8"/>
        <v>14</v>
      </c>
      <c r="BG31" s="49"/>
      <c r="BH31" s="50"/>
      <c r="BI31" s="42"/>
      <c r="BJ31" s="42">
        <v>14</v>
      </c>
      <c r="BK31" s="52">
        <v>14</v>
      </c>
      <c r="BL31" s="42">
        <v>15</v>
      </c>
      <c r="BM31" s="25">
        <f t="shared" si="9"/>
        <v>14.333333333333334</v>
      </c>
      <c r="BN31" s="49"/>
      <c r="BO31" s="50"/>
      <c r="BP31" s="41">
        <v>12</v>
      </c>
      <c r="BQ31" s="57">
        <v>12</v>
      </c>
      <c r="BR31" s="57">
        <v>14</v>
      </c>
      <c r="BS31" s="25">
        <f t="shared" si="10"/>
        <v>12.666666666666666</v>
      </c>
      <c r="BT31" s="49"/>
      <c r="BU31" s="50"/>
      <c r="BV31" s="41"/>
      <c r="BW31" s="57">
        <v>15</v>
      </c>
      <c r="BX31" s="57">
        <v>7</v>
      </c>
      <c r="BY31" s="57">
        <v>17</v>
      </c>
      <c r="BZ31" s="25">
        <f t="shared" si="11"/>
        <v>13</v>
      </c>
      <c r="CA31" s="49"/>
      <c r="CB31" s="50"/>
      <c r="CC31" s="41"/>
      <c r="CD31" s="57">
        <v>12</v>
      </c>
      <c r="CE31" s="57">
        <v>12</v>
      </c>
      <c r="CF31" s="57">
        <v>18</v>
      </c>
      <c r="CG31" s="76">
        <f t="shared" si="12"/>
        <v>14</v>
      </c>
      <c r="CH31" s="27"/>
      <c r="CI31" s="15"/>
    </row>
    <row r="32" spans="1:87" ht="13.5" x14ac:dyDescent="0.2">
      <c r="A32" s="112">
        <f t="shared" si="0"/>
        <v>18</v>
      </c>
      <c r="B32" s="107"/>
      <c r="C32" s="101"/>
      <c r="D32" s="62"/>
      <c r="E32" s="39"/>
      <c r="F32" s="40"/>
      <c r="G32" s="41"/>
      <c r="H32" s="57">
        <v>17</v>
      </c>
      <c r="I32" s="57">
        <v>18</v>
      </c>
      <c r="J32" s="57">
        <v>15</v>
      </c>
      <c r="K32" s="25">
        <f t="shared" si="1"/>
        <v>16.666666666666668</v>
      </c>
      <c r="L32" s="45"/>
      <c r="M32" s="46"/>
      <c r="N32" s="41"/>
      <c r="O32" s="57">
        <v>18</v>
      </c>
      <c r="P32" s="57">
        <v>20</v>
      </c>
      <c r="Q32" s="57">
        <v>12</v>
      </c>
      <c r="R32" s="25">
        <f t="shared" si="2"/>
        <v>16.666666666666668</v>
      </c>
      <c r="S32" s="54"/>
      <c r="T32" s="46"/>
      <c r="U32" s="41"/>
      <c r="V32" s="57">
        <v>10</v>
      </c>
      <c r="W32" s="57">
        <v>16</v>
      </c>
      <c r="X32" s="57">
        <v>13</v>
      </c>
      <c r="Y32" s="25">
        <f t="shared" si="3"/>
        <v>13</v>
      </c>
      <c r="Z32" s="45"/>
      <c r="AA32" s="46"/>
      <c r="AB32" s="41"/>
      <c r="AC32" s="57">
        <v>14</v>
      </c>
      <c r="AD32" s="57">
        <v>13</v>
      </c>
      <c r="AE32" s="57">
        <v>11</v>
      </c>
      <c r="AF32" s="25">
        <f t="shared" si="4"/>
        <v>12.666666666666666</v>
      </c>
      <c r="AG32" s="45"/>
      <c r="AH32" s="46"/>
      <c r="AI32" s="73"/>
      <c r="AJ32" s="57">
        <v>15</v>
      </c>
      <c r="AK32" s="57">
        <v>19</v>
      </c>
      <c r="AL32" s="57">
        <v>17</v>
      </c>
      <c r="AM32" s="25">
        <f t="shared" si="5"/>
        <v>17</v>
      </c>
      <c r="AN32" s="49"/>
      <c r="AO32" s="50"/>
      <c r="AP32" s="57">
        <v>10</v>
      </c>
      <c r="AQ32" s="57">
        <v>16</v>
      </c>
      <c r="AR32" s="57">
        <v>13</v>
      </c>
      <c r="AS32" s="25">
        <f t="shared" si="6"/>
        <v>13</v>
      </c>
      <c r="AT32" s="49"/>
      <c r="AU32" s="50"/>
      <c r="AV32" s="57">
        <v>16</v>
      </c>
      <c r="AW32" s="57">
        <v>15</v>
      </c>
      <c r="AX32" s="57">
        <v>18</v>
      </c>
      <c r="AY32" s="25">
        <f t="shared" si="7"/>
        <v>16.333333333333332</v>
      </c>
      <c r="AZ32" s="49"/>
      <c r="BA32" s="42"/>
      <c r="BB32" s="42"/>
      <c r="BC32" s="57">
        <v>10</v>
      </c>
      <c r="BD32" s="57">
        <v>13</v>
      </c>
      <c r="BE32" s="57">
        <v>12</v>
      </c>
      <c r="BF32" s="25">
        <f t="shared" si="8"/>
        <v>11.666666666666666</v>
      </c>
      <c r="BG32" s="49"/>
      <c r="BH32" s="50"/>
      <c r="BI32" s="42"/>
      <c r="BJ32" s="42">
        <v>14</v>
      </c>
      <c r="BK32" s="52">
        <v>13</v>
      </c>
      <c r="BL32" s="42">
        <v>6</v>
      </c>
      <c r="BM32" s="25">
        <f t="shared" si="9"/>
        <v>11</v>
      </c>
      <c r="BN32" s="49"/>
      <c r="BO32" s="50"/>
      <c r="BP32" s="41">
        <v>16</v>
      </c>
      <c r="BQ32" s="57">
        <v>20</v>
      </c>
      <c r="BR32" s="57">
        <v>17</v>
      </c>
      <c r="BS32" s="25">
        <f t="shared" si="10"/>
        <v>17.666666666666668</v>
      </c>
      <c r="BT32" s="49"/>
      <c r="BU32" s="50"/>
      <c r="BV32" s="41"/>
      <c r="BW32" s="57">
        <v>16</v>
      </c>
      <c r="BX32" s="57">
        <v>14</v>
      </c>
      <c r="BY32" s="57">
        <v>13</v>
      </c>
      <c r="BZ32" s="25">
        <f t="shared" si="11"/>
        <v>14.333333333333334</v>
      </c>
      <c r="CA32" s="49"/>
      <c r="CB32" s="50"/>
      <c r="CC32" s="41"/>
      <c r="CD32" s="57">
        <v>10</v>
      </c>
      <c r="CE32" s="57">
        <v>10</v>
      </c>
      <c r="CF32" s="57">
        <v>13</v>
      </c>
      <c r="CG32" s="76">
        <f t="shared" si="12"/>
        <v>11</v>
      </c>
      <c r="CH32" s="29"/>
      <c r="CI32" s="15"/>
    </row>
    <row r="33" spans="1:88" ht="13.5" x14ac:dyDescent="0.2">
      <c r="A33" s="112">
        <f t="shared" si="0"/>
        <v>19</v>
      </c>
      <c r="B33" s="107"/>
      <c r="C33" s="101"/>
      <c r="D33" s="62"/>
      <c r="E33" s="39"/>
      <c r="F33" s="40"/>
      <c r="G33" s="41"/>
      <c r="H33" s="57">
        <v>15</v>
      </c>
      <c r="I33" s="57">
        <v>18</v>
      </c>
      <c r="J33" s="57">
        <v>17</v>
      </c>
      <c r="K33" s="88">
        <f t="shared" si="1"/>
        <v>16.666666666666668</v>
      </c>
      <c r="L33" s="45"/>
      <c r="M33" s="46"/>
      <c r="N33" s="41"/>
      <c r="O33" s="57">
        <v>13</v>
      </c>
      <c r="P33" s="57">
        <v>11</v>
      </c>
      <c r="Q33" s="57">
        <v>8</v>
      </c>
      <c r="R33" s="25">
        <f t="shared" si="2"/>
        <v>10.666666666666666</v>
      </c>
      <c r="S33" s="54"/>
      <c r="T33" s="46"/>
      <c r="U33" s="41"/>
      <c r="V33" s="57">
        <v>8</v>
      </c>
      <c r="W33" s="57">
        <v>18</v>
      </c>
      <c r="X33" s="57">
        <v>15</v>
      </c>
      <c r="Y33" s="25">
        <f t="shared" si="3"/>
        <v>13.666666666666666</v>
      </c>
      <c r="Z33" s="45"/>
      <c r="AA33" s="46"/>
      <c r="AB33" s="41"/>
      <c r="AC33" s="57">
        <v>10</v>
      </c>
      <c r="AD33" s="57">
        <v>10</v>
      </c>
      <c r="AE33" s="57">
        <v>10</v>
      </c>
      <c r="AF33" s="25">
        <f t="shared" si="4"/>
        <v>10</v>
      </c>
      <c r="AG33" s="45"/>
      <c r="AH33" s="46"/>
      <c r="AI33" s="73"/>
      <c r="AJ33" s="57">
        <v>19</v>
      </c>
      <c r="AK33" s="57">
        <v>19</v>
      </c>
      <c r="AL33" s="57">
        <v>19</v>
      </c>
      <c r="AM33" s="25">
        <f t="shared" si="5"/>
        <v>19</v>
      </c>
      <c r="AN33" s="49"/>
      <c r="AO33" s="50"/>
      <c r="AP33" s="57">
        <v>8</v>
      </c>
      <c r="AQ33" s="57">
        <v>18</v>
      </c>
      <c r="AR33" s="57">
        <v>15</v>
      </c>
      <c r="AS33" s="25">
        <f t="shared" si="6"/>
        <v>13.666666666666666</v>
      </c>
      <c r="AT33" s="49"/>
      <c r="AU33" s="50"/>
      <c r="AV33" s="57">
        <v>12</v>
      </c>
      <c r="AW33" s="57">
        <v>8</v>
      </c>
      <c r="AX33" s="57">
        <v>16</v>
      </c>
      <c r="AY33" s="25">
        <f t="shared" si="7"/>
        <v>12</v>
      </c>
      <c r="AZ33" s="49"/>
      <c r="BA33" s="42"/>
      <c r="BB33" s="42"/>
      <c r="BC33" s="57">
        <v>11</v>
      </c>
      <c r="BD33" s="57">
        <v>14</v>
      </c>
      <c r="BE33" s="57">
        <v>10</v>
      </c>
      <c r="BF33" s="25">
        <f t="shared" si="8"/>
        <v>11.666666666666666</v>
      </c>
      <c r="BG33" s="49"/>
      <c r="BH33" s="50"/>
      <c r="BI33" s="42"/>
      <c r="BJ33" s="42">
        <v>16</v>
      </c>
      <c r="BK33" s="52">
        <v>17</v>
      </c>
      <c r="BL33" s="42">
        <v>16</v>
      </c>
      <c r="BM33" s="25">
        <f t="shared" si="9"/>
        <v>16.333333333333332</v>
      </c>
      <c r="BN33" s="49"/>
      <c r="BO33" s="50"/>
      <c r="BP33" s="41">
        <v>16</v>
      </c>
      <c r="BQ33" s="57">
        <v>19</v>
      </c>
      <c r="BR33" s="57">
        <v>18</v>
      </c>
      <c r="BS33" s="25">
        <f t="shared" si="10"/>
        <v>17.666666666666668</v>
      </c>
      <c r="BT33" s="49"/>
      <c r="BU33" s="50"/>
      <c r="BV33" s="41"/>
      <c r="BW33" s="57">
        <v>14</v>
      </c>
      <c r="BX33" s="57">
        <v>8</v>
      </c>
      <c r="BY33" s="57">
        <v>7</v>
      </c>
      <c r="BZ33" s="25">
        <f t="shared" si="11"/>
        <v>9.6666666666666661</v>
      </c>
      <c r="CA33" s="49"/>
      <c r="CB33" s="50"/>
      <c r="CC33" s="41"/>
      <c r="CD33" s="57">
        <v>14</v>
      </c>
      <c r="CE33" s="57">
        <v>14</v>
      </c>
      <c r="CF33" s="57">
        <v>18</v>
      </c>
      <c r="CG33" s="76">
        <f t="shared" si="12"/>
        <v>15.333333333333334</v>
      </c>
      <c r="CH33" s="27"/>
      <c r="CI33" s="15"/>
    </row>
    <row r="34" spans="1:88" ht="12" customHeight="1" x14ac:dyDescent="0.2">
      <c r="A34" s="112">
        <f t="shared" si="0"/>
        <v>20</v>
      </c>
      <c r="B34" s="107"/>
      <c r="C34" s="101"/>
      <c r="D34" s="62"/>
      <c r="E34" s="39"/>
      <c r="F34" s="40"/>
      <c r="G34" s="41"/>
      <c r="H34" s="57">
        <v>13</v>
      </c>
      <c r="I34" s="74">
        <v>4</v>
      </c>
      <c r="J34" s="57">
        <v>10</v>
      </c>
      <c r="K34" s="75">
        <f t="shared" si="1"/>
        <v>9</v>
      </c>
      <c r="L34" s="45"/>
      <c r="M34" s="46"/>
      <c r="N34" s="41"/>
      <c r="O34" s="57">
        <v>16</v>
      </c>
      <c r="P34" s="57">
        <v>7</v>
      </c>
      <c r="Q34" s="57">
        <v>8</v>
      </c>
      <c r="R34" s="25">
        <f t="shared" si="2"/>
        <v>10.333333333333334</v>
      </c>
      <c r="S34" s="54"/>
      <c r="T34" s="46"/>
      <c r="U34" s="41"/>
      <c r="V34" s="57">
        <v>6</v>
      </c>
      <c r="W34" s="57">
        <v>19</v>
      </c>
      <c r="X34" s="57">
        <v>14</v>
      </c>
      <c r="Y34" s="25">
        <f t="shared" si="3"/>
        <v>13</v>
      </c>
      <c r="Z34" s="45"/>
      <c r="AA34" s="46"/>
      <c r="AB34" s="41"/>
      <c r="AC34" s="57">
        <v>10</v>
      </c>
      <c r="AD34" s="57">
        <v>10</v>
      </c>
      <c r="AE34" s="57">
        <v>10</v>
      </c>
      <c r="AF34" s="25">
        <f t="shared" si="4"/>
        <v>10</v>
      </c>
      <c r="AG34" s="45"/>
      <c r="AH34" s="46"/>
      <c r="AI34" s="73"/>
      <c r="AJ34" s="57">
        <v>18</v>
      </c>
      <c r="AK34" s="57">
        <v>16</v>
      </c>
      <c r="AL34" s="57">
        <v>15</v>
      </c>
      <c r="AM34" s="25">
        <f t="shared" si="5"/>
        <v>16.333333333333332</v>
      </c>
      <c r="AN34" s="49"/>
      <c r="AO34" s="50"/>
      <c r="AP34" s="57">
        <v>6</v>
      </c>
      <c r="AQ34" s="57">
        <v>19</v>
      </c>
      <c r="AR34" s="57">
        <v>14</v>
      </c>
      <c r="AS34" s="25">
        <f t="shared" si="6"/>
        <v>13</v>
      </c>
      <c r="AT34" s="49"/>
      <c r="AU34" s="50"/>
      <c r="AV34" s="57">
        <v>14</v>
      </c>
      <c r="AW34" s="57">
        <v>8</v>
      </c>
      <c r="AX34" s="57">
        <v>7</v>
      </c>
      <c r="AY34" s="25">
        <f t="shared" si="7"/>
        <v>9.6666666666666661</v>
      </c>
      <c r="AZ34" s="49"/>
      <c r="BA34" s="42"/>
      <c r="BB34" s="42"/>
      <c r="BC34" s="74">
        <v>10</v>
      </c>
      <c r="BD34" s="74">
        <v>10</v>
      </c>
      <c r="BE34" s="57">
        <v>8</v>
      </c>
      <c r="BF34" s="25">
        <f t="shared" si="8"/>
        <v>9.3333333333333339</v>
      </c>
      <c r="BG34" s="49"/>
      <c r="BH34" s="50"/>
      <c r="BI34" s="42"/>
      <c r="BJ34" s="42">
        <v>14</v>
      </c>
      <c r="BK34" s="52">
        <v>8</v>
      </c>
      <c r="BL34" s="42">
        <v>10</v>
      </c>
      <c r="BM34" s="25">
        <f t="shared" si="9"/>
        <v>10.666666666666666</v>
      </c>
      <c r="BN34" s="49"/>
      <c r="BO34" s="50"/>
      <c r="BP34" s="41">
        <v>10</v>
      </c>
      <c r="BQ34" s="57">
        <v>7</v>
      </c>
      <c r="BR34" s="57">
        <v>8</v>
      </c>
      <c r="BS34" s="25">
        <f t="shared" si="10"/>
        <v>8.3333333333333339</v>
      </c>
      <c r="BT34" s="49"/>
      <c r="BU34" s="50"/>
      <c r="BV34" s="41"/>
      <c r="BW34" s="57">
        <v>12</v>
      </c>
      <c r="BX34" s="57">
        <v>5</v>
      </c>
      <c r="BY34" s="57">
        <v>2</v>
      </c>
      <c r="BZ34" s="25">
        <f t="shared" si="11"/>
        <v>6.333333333333333</v>
      </c>
      <c r="CA34" s="49"/>
      <c r="CB34" s="50"/>
      <c r="CC34" s="41"/>
      <c r="CD34" s="57">
        <v>12</v>
      </c>
      <c r="CE34" s="57">
        <v>7</v>
      </c>
      <c r="CF34" s="57">
        <v>10</v>
      </c>
      <c r="CG34" s="76">
        <f t="shared" si="12"/>
        <v>9.6666666666666661</v>
      </c>
      <c r="CH34" s="27"/>
      <c r="CI34" s="15"/>
    </row>
    <row r="35" spans="1:88" ht="13.5" x14ac:dyDescent="0.2">
      <c r="A35" s="112">
        <f t="shared" si="0"/>
        <v>21</v>
      </c>
      <c r="B35" s="107"/>
      <c r="C35" s="101"/>
      <c r="D35" s="62"/>
      <c r="E35" s="39"/>
      <c r="F35" s="40"/>
      <c r="G35" s="41"/>
      <c r="H35" s="77">
        <v>10</v>
      </c>
      <c r="I35" s="57">
        <v>3</v>
      </c>
      <c r="J35" s="78">
        <v>4</v>
      </c>
      <c r="K35" s="75">
        <f t="shared" si="1"/>
        <v>5.666666666666667</v>
      </c>
      <c r="L35" s="45"/>
      <c r="M35" s="46"/>
      <c r="N35" s="41"/>
      <c r="O35" s="57">
        <v>12</v>
      </c>
      <c r="P35" s="57">
        <v>2</v>
      </c>
      <c r="Q35" s="57">
        <v>4</v>
      </c>
      <c r="R35" s="25">
        <f t="shared" si="2"/>
        <v>6</v>
      </c>
      <c r="S35" s="54"/>
      <c r="T35" s="46"/>
      <c r="U35" s="41"/>
      <c r="V35" s="57">
        <v>10</v>
      </c>
      <c r="W35" s="57">
        <v>10</v>
      </c>
      <c r="X35" s="57">
        <v>12</v>
      </c>
      <c r="Y35" s="25">
        <f t="shared" si="3"/>
        <v>10.666666666666666</v>
      </c>
      <c r="Z35" s="45"/>
      <c r="AA35" s="46"/>
      <c r="AB35" s="41"/>
      <c r="AC35" s="57">
        <v>11</v>
      </c>
      <c r="AD35" s="57">
        <v>10</v>
      </c>
      <c r="AE35" s="57">
        <v>11</v>
      </c>
      <c r="AF35" s="25">
        <f t="shared" si="4"/>
        <v>10.666666666666666</v>
      </c>
      <c r="AG35" s="45"/>
      <c r="AH35" s="46"/>
      <c r="AI35" s="73"/>
      <c r="AJ35" s="57">
        <v>17</v>
      </c>
      <c r="AK35" s="57">
        <v>15</v>
      </c>
      <c r="AL35" s="57">
        <v>3</v>
      </c>
      <c r="AM35" s="25">
        <f t="shared" si="5"/>
        <v>11.666666666666666</v>
      </c>
      <c r="AN35" s="49"/>
      <c r="AO35" s="50"/>
      <c r="AP35" s="57">
        <v>10</v>
      </c>
      <c r="AQ35" s="57">
        <v>10</v>
      </c>
      <c r="AR35" s="57">
        <v>12</v>
      </c>
      <c r="AS35" s="25">
        <f t="shared" si="6"/>
        <v>10.666666666666666</v>
      </c>
      <c r="AT35" s="49"/>
      <c r="AU35" s="50"/>
      <c r="AV35" s="57">
        <v>12</v>
      </c>
      <c r="AW35" s="57">
        <v>10</v>
      </c>
      <c r="AX35" s="57">
        <v>7</v>
      </c>
      <c r="AY35" s="25">
        <f t="shared" si="7"/>
        <v>9.6666666666666661</v>
      </c>
      <c r="AZ35" s="49"/>
      <c r="BA35" s="42"/>
      <c r="BB35" s="79"/>
      <c r="BC35" s="77">
        <v>10</v>
      </c>
      <c r="BD35" s="57">
        <v>10</v>
      </c>
      <c r="BE35" s="78">
        <v>5</v>
      </c>
      <c r="BF35" s="25">
        <f t="shared" si="8"/>
        <v>8.3333333333333339</v>
      </c>
      <c r="BG35" s="49"/>
      <c r="BH35" s="50"/>
      <c r="BI35" s="42"/>
      <c r="BJ35" s="42">
        <v>14</v>
      </c>
      <c r="BK35" s="52">
        <v>5</v>
      </c>
      <c r="BL35" s="42">
        <v>4</v>
      </c>
      <c r="BM35" s="25">
        <f t="shared" si="9"/>
        <v>7.666666666666667</v>
      </c>
      <c r="BN35" s="49"/>
      <c r="BO35" s="50"/>
      <c r="BP35" s="41">
        <v>10</v>
      </c>
      <c r="BQ35" s="57">
        <v>7</v>
      </c>
      <c r="BR35" s="57">
        <v>10</v>
      </c>
      <c r="BS35" s="25">
        <f t="shared" si="10"/>
        <v>9</v>
      </c>
      <c r="BT35" s="49"/>
      <c r="BU35" s="50"/>
      <c r="BV35" s="41"/>
      <c r="BW35" s="57">
        <v>12</v>
      </c>
      <c r="BX35" s="57">
        <v>5</v>
      </c>
      <c r="BY35" s="57">
        <v>6</v>
      </c>
      <c r="BZ35" s="25">
        <f t="shared" si="11"/>
        <v>7.666666666666667</v>
      </c>
      <c r="CA35" s="49"/>
      <c r="CB35" s="50"/>
      <c r="CC35" s="41"/>
      <c r="CD35" s="57">
        <v>10</v>
      </c>
      <c r="CE35" s="57">
        <v>10</v>
      </c>
      <c r="CF35" s="57">
        <v>11</v>
      </c>
      <c r="CG35" s="76">
        <f t="shared" si="12"/>
        <v>10.333333333333334</v>
      </c>
      <c r="CH35" s="27"/>
      <c r="CI35" s="15"/>
    </row>
    <row r="36" spans="1:88" ht="13.5" x14ac:dyDescent="0.2">
      <c r="A36" s="112">
        <f t="shared" si="0"/>
        <v>22</v>
      </c>
      <c r="B36" s="107"/>
      <c r="C36" s="101"/>
      <c r="D36" s="62"/>
      <c r="E36" s="39"/>
      <c r="F36" s="40"/>
      <c r="G36" s="41"/>
      <c r="H36" s="57">
        <v>16</v>
      </c>
      <c r="I36" s="56">
        <v>18</v>
      </c>
      <c r="J36" s="57">
        <v>17</v>
      </c>
      <c r="K36" s="25">
        <f t="shared" si="1"/>
        <v>17</v>
      </c>
      <c r="L36" s="45"/>
      <c r="M36" s="46"/>
      <c r="N36" s="41"/>
      <c r="O36" s="57">
        <v>16</v>
      </c>
      <c r="P36" s="57">
        <v>15</v>
      </c>
      <c r="Q36" s="57">
        <v>6</v>
      </c>
      <c r="R36" s="25">
        <f t="shared" si="2"/>
        <v>12.333333333333334</v>
      </c>
      <c r="S36" s="54"/>
      <c r="T36" s="46"/>
      <c r="U36" s="41"/>
      <c r="V36" s="57">
        <v>6</v>
      </c>
      <c r="W36" s="57">
        <v>12</v>
      </c>
      <c r="X36" s="57">
        <v>18</v>
      </c>
      <c r="Y36" s="25">
        <f t="shared" si="3"/>
        <v>12</v>
      </c>
      <c r="Z36" s="45"/>
      <c r="AA36" s="46"/>
      <c r="AB36" s="41"/>
      <c r="AC36" s="57">
        <v>13</v>
      </c>
      <c r="AD36" s="57">
        <v>14</v>
      </c>
      <c r="AE36" s="57">
        <v>12</v>
      </c>
      <c r="AF36" s="25">
        <f t="shared" si="4"/>
        <v>13</v>
      </c>
      <c r="AG36" s="45"/>
      <c r="AH36" s="46"/>
      <c r="AI36" s="73"/>
      <c r="AJ36" s="57">
        <v>17</v>
      </c>
      <c r="AK36" s="57">
        <v>16</v>
      </c>
      <c r="AL36" s="57">
        <v>15</v>
      </c>
      <c r="AM36" s="25">
        <v>16</v>
      </c>
      <c r="AN36" s="49"/>
      <c r="AO36" s="50"/>
      <c r="AP36" s="57">
        <v>6</v>
      </c>
      <c r="AQ36" s="57">
        <v>12</v>
      </c>
      <c r="AR36" s="57">
        <v>18</v>
      </c>
      <c r="AS36" s="25">
        <f t="shared" si="6"/>
        <v>12</v>
      </c>
      <c r="AT36" s="49"/>
      <c r="AU36" s="50"/>
      <c r="AV36" s="57">
        <v>12</v>
      </c>
      <c r="AW36" s="57">
        <v>13</v>
      </c>
      <c r="AX36" s="57">
        <v>13</v>
      </c>
      <c r="AY36" s="25">
        <f t="shared" si="7"/>
        <v>12.666666666666666</v>
      </c>
      <c r="AZ36" s="49"/>
      <c r="BA36" s="42"/>
      <c r="BB36" s="42"/>
      <c r="BC36" s="56">
        <v>11</v>
      </c>
      <c r="BD36" s="56">
        <v>17</v>
      </c>
      <c r="BE36" s="57">
        <v>10</v>
      </c>
      <c r="BF36" s="25">
        <f t="shared" si="8"/>
        <v>12.666666666666666</v>
      </c>
      <c r="BG36" s="49"/>
      <c r="BH36" s="50"/>
      <c r="BI36" s="42"/>
      <c r="BJ36" s="42">
        <v>8</v>
      </c>
      <c r="BK36" s="52">
        <v>16</v>
      </c>
      <c r="BL36" s="42">
        <v>10</v>
      </c>
      <c r="BM36" s="25">
        <f t="shared" si="9"/>
        <v>11.333333333333334</v>
      </c>
      <c r="BN36" s="49"/>
      <c r="BO36" s="50"/>
      <c r="BP36" s="41">
        <v>14</v>
      </c>
      <c r="BQ36" s="57">
        <v>12</v>
      </c>
      <c r="BR36" s="57">
        <v>17</v>
      </c>
      <c r="BS36" s="25">
        <f t="shared" si="10"/>
        <v>14.333333333333334</v>
      </c>
      <c r="BT36" s="49"/>
      <c r="BU36" s="50"/>
      <c r="BV36" s="41"/>
      <c r="BW36" s="57">
        <v>14</v>
      </c>
      <c r="BX36" s="57">
        <v>9</v>
      </c>
      <c r="BY36" s="57">
        <v>12</v>
      </c>
      <c r="BZ36" s="25">
        <f t="shared" si="11"/>
        <v>11.666666666666666</v>
      </c>
      <c r="CA36" s="49"/>
      <c r="CB36" s="50"/>
      <c r="CC36" s="41"/>
      <c r="CD36" s="57">
        <v>11</v>
      </c>
      <c r="CE36" s="57">
        <v>16</v>
      </c>
      <c r="CF36" s="57">
        <v>18</v>
      </c>
      <c r="CG36" s="76">
        <f t="shared" si="12"/>
        <v>15</v>
      </c>
      <c r="CH36" s="27"/>
      <c r="CI36" s="15"/>
    </row>
    <row r="37" spans="1:88" ht="13.5" x14ac:dyDescent="0.2">
      <c r="A37" s="112">
        <f t="shared" si="0"/>
        <v>23</v>
      </c>
      <c r="B37" s="107"/>
      <c r="C37" s="101"/>
      <c r="D37" s="62"/>
      <c r="E37" s="39"/>
      <c r="F37" s="40"/>
      <c r="G37" s="41"/>
      <c r="H37" s="57">
        <v>18</v>
      </c>
      <c r="I37" s="57">
        <v>18</v>
      </c>
      <c r="J37" s="57">
        <v>17</v>
      </c>
      <c r="K37" s="88">
        <f t="shared" si="1"/>
        <v>17.666666666666668</v>
      </c>
      <c r="L37" s="45"/>
      <c r="M37" s="46"/>
      <c r="N37" s="41"/>
      <c r="O37" s="57">
        <v>18</v>
      </c>
      <c r="P37" s="57">
        <v>19</v>
      </c>
      <c r="Q37" s="57">
        <v>11</v>
      </c>
      <c r="R37" s="25">
        <f t="shared" si="2"/>
        <v>16</v>
      </c>
      <c r="S37" s="54"/>
      <c r="T37" s="46"/>
      <c r="U37" s="41"/>
      <c r="V37" s="57">
        <v>13</v>
      </c>
      <c r="W37" s="57">
        <v>16</v>
      </c>
      <c r="X37" s="57">
        <v>18</v>
      </c>
      <c r="Y37" s="25">
        <f t="shared" si="3"/>
        <v>15.666666666666666</v>
      </c>
      <c r="Z37" s="45"/>
      <c r="AA37" s="46"/>
      <c r="AB37" s="41"/>
      <c r="AC37" s="57">
        <v>15</v>
      </c>
      <c r="AD37" s="57">
        <v>14</v>
      </c>
      <c r="AE37" s="57">
        <v>14</v>
      </c>
      <c r="AF37" s="25">
        <f t="shared" si="4"/>
        <v>14.333333333333334</v>
      </c>
      <c r="AG37" s="45"/>
      <c r="AH37" s="46"/>
      <c r="AI37" s="73"/>
      <c r="AJ37" s="57">
        <v>18</v>
      </c>
      <c r="AK37" s="57">
        <v>16</v>
      </c>
      <c r="AL37" s="57">
        <v>12</v>
      </c>
      <c r="AM37" s="25">
        <f t="shared" si="5"/>
        <v>15.333333333333334</v>
      </c>
      <c r="AN37" s="49"/>
      <c r="AO37" s="50"/>
      <c r="AP37" s="57">
        <v>13</v>
      </c>
      <c r="AQ37" s="57">
        <v>16</v>
      </c>
      <c r="AR37" s="57">
        <v>18</v>
      </c>
      <c r="AS37" s="25">
        <f t="shared" si="6"/>
        <v>15.666666666666666</v>
      </c>
      <c r="AT37" s="49"/>
      <c r="AU37" s="50"/>
      <c r="AV37" s="57">
        <v>12</v>
      </c>
      <c r="AW37" s="57">
        <v>12</v>
      </c>
      <c r="AX37" s="57">
        <v>12</v>
      </c>
      <c r="AY37" s="25">
        <f t="shared" si="7"/>
        <v>12</v>
      </c>
      <c r="AZ37" s="49"/>
      <c r="BA37" s="42"/>
      <c r="BB37" s="42"/>
      <c r="BC37" s="57">
        <v>13</v>
      </c>
      <c r="BD37" s="57">
        <v>17</v>
      </c>
      <c r="BE37" s="57">
        <v>16</v>
      </c>
      <c r="BF37" s="25">
        <f t="shared" si="8"/>
        <v>15.333333333333334</v>
      </c>
      <c r="BG37" s="49"/>
      <c r="BH37" s="50"/>
      <c r="BI37" s="42"/>
      <c r="BJ37" s="42">
        <v>16</v>
      </c>
      <c r="BK37" s="52">
        <v>15</v>
      </c>
      <c r="BL37" s="42">
        <v>15</v>
      </c>
      <c r="BM37" s="25">
        <f t="shared" si="9"/>
        <v>15.333333333333334</v>
      </c>
      <c r="BN37" s="49"/>
      <c r="BO37" s="50"/>
      <c r="BP37" s="41">
        <v>12</v>
      </c>
      <c r="BQ37" s="57">
        <v>13</v>
      </c>
      <c r="BR37" s="57">
        <v>13</v>
      </c>
      <c r="BS37" s="25">
        <f t="shared" si="10"/>
        <v>12.666666666666666</v>
      </c>
      <c r="BT37" s="49"/>
      <c r="BU37" s="50"/>
      <c r="BV37" s="41"/>
      <c r="BW37" s="57">
        <v>15</v>
      </c>
      <c r="BX37" s="57">
        <v>8</v>
      </c>
      <c r="BY37" s="57">
        <v>14</v>
      </c>
      <c r="BZ37" s="25">
        <f t="shared" si="11"/>
        <v>12.333333333333334</v>
      </c>
      <c r="CA37" s="49"/>
      <c r="CB37" s="50"/>
      <c r="CC37" s="41"/>
      <c r="CD37" s="57">
        <v>12</v>
      </c>
      <c r="CE37" s="57">
        <v>15</v>
      </c>
      <c r="CF37" s="57">
        <v>18</v>
      </c>
      <c r="CG37" s="76">
        <f t="shared" si="12"/>
        <v>15</v>
      </c>
      <c r="CH37" s="27"/>
      <c r="CI37" s="15"/>
    </row>
    <row r="38" spans="1:88" ht="14.25" customHeight="1" x14ac:dyDescent="0.2">
      <c r="A38" s="112">
        <f t="shared" si="0"/>
        <v>24</v>
      </c>
      <c r="B38" s="107"/>
      <c r="C38" s="101"/>
      <c r="D38" s="62"/>
      <c r="E38" s="39"/>
      <c r="F38" s="40"/>
      <c r="G38" s="41"/>
      <c r="H38" s="57">
        <v>16</v>
      </c>
      <c r="I38" s="57">
        <v>13</v>
      </c>
      <c r="J38" s="57">
        <v>14</v>
      </c>
      <c r="K38" s="75">
        <f t="shared" si="1"/>
        <v>14.333333333333334</v>
      </c>
      <c r="L38" s="45"/>
      <c r="M38" s="46"/>
      <c r="N38" s="41"/>
      <c r="O38" s="57">
        <v>16</v>
      </c>
      <c r="P38" s="57">
        <v>9</v>
      </c>
      <c r="Q38" s="57">
        <v>4</v>
      </c>
      <c r="R38" s="25">
        <f t="shared" si="2"/>
        <v>9.6666666666666661</v>
      </c>
      <c r="S38" s="54"/>
      <c r="T38" s="46"/>
      <c r="U38" s="41"/>
      <c r="V38" s="57">
        <v>8</v>
      </c>
      <c r="W38" s="57">
        <v>15</v>
      </c>
      <c r="X38" s="57">
        <v>18</v>
      </c>
      <c r="Y38" s="25">
        <f t="shared" si="3"/>
        <v>13.666666666666666</v>
      </c>
      <c r="Z38" s="45"/>
      <c r="AA38" s="46"/>
      <c r="AB38" s="41"/>
      <c r="AC38" s="57">
        <v>10</v>
      </c>
      <c r="AD38" s="57">
        <v>13</v>
      </c>
      <c r="AE38" s="57">
        <v>10</v>
      </c>
      <c r="AF38" s="25">
        <f t="shared" si="4"/>
        <v>11</v>
      </c>
      <c r="AG38" s="45"/>
      <c r="AH38" s="46"/>
      <c r="AI38" s="73"/>
      <c r="AJ38" s="57">
        <v>12</v>
      </c>
      <c r="AK38" s="57">
        <v>10</v>
      </c>
      <c r="AL38" s="57">
        <v>2</v>
      </c>
      <c r="AM38" s="25">
        <f t="shared" si="5"/>
        <v>8</v>
      </c>
      <c r="AN38" s="49"/>
      <c r="AO38" s="50"/>
      <c r="AP38" s="57">
        <v>8</v>
      </c>
      <c r="AQ38" s="57">
        <v>15</v>
      </c>
      <c r="AR38" s="57">
        <v>18</v>
      </c>
      <c r="AS38" s="25">
        <f t="shared" si="6"/>
        <v>13.666666666666666</v>
      </c>
      <c r="AT38" s="49"/>
      <c r="AU38" s="50"/>
      <c r="AV38" s="57">
        <v>12</v>
      </c>
      <c r="AW38" s="57">
        <v>7</v>
      </c>
      <c r="AX38" s="57">
        <v>11</v>
      </c>
      <c r="AY38" s="25">
        <f t="shared" si="7"/>
        <v>10</v>
      </c>
      <c r="AZ38" s="49"/>
      <c r="BA38" s="42"/>
      <c r="BB38" s="42"/>
      <c r="BC38" s="57">
        <v>10</v>
      </c>
      <c r="BD38" s="57">
        <v>13</v>
      </c>
      <c r="BE38" s="57">
        <v>11</v>
      </c>
      <c r="BF38" s="25">
        <f t="shared" si="8"/>
        <v>11.333333333333334</v>
      </c>
      <c r="BG38" s="49"/>
      <c r="BH38" s="50"/>
      <c r="BI38" s="42"/>
      <c r="BJ38" s="42">
        <v>16</v>
      </c>
      <c r="BK38" s="52">
        <v>8</v>
      </c>
      <c r="BL38" s="42">
        <v>6</v>
      </c>
      <c r="BM38" s="25">
        <f t="shared" si="9"/>
        <v>10</v>
      </c>
      <c r="BN38" s="49"/>
      <c r="BO38" s="50"/>
      <c r="BP38" s="41">
        <v>12</v>
      </c>
      <c r="BQ38" s="57">
        <v>7</v>
      </c>
      <c r="BR38" s="57">
        <v>11</v>
      </c>
      <c r="BS38" s="25">
        <f t="shared" si="10"/>
        <v>10</v>
      </c>
      <c r="BT38" s="49"/>
      <c r="BU38" s="50"/>
      <c r="BV38" s="41"/>
      <c r="BW38" s="57">
        <v>13</v>
      </c>
      <c r="BX38" s="57">
        <v>6</v>
      </c>
      <c r="BY38" s="57">
        <v>4</v>
      </c>
      <c r="BZ38" s="25">
        <f t="shared" si="11"/>
        <v>7.666666666666667</v>
      </c>
      <c r="CA38" s="49"/>
      <c r="CB38" s="50"/>
      <c r="CC38" s="41"/>
      <c r="CD38" s="57">
        <v>10</v>
      </c>
      <c r="CE38" s="57">
        <v>10</v>
      </c>
      <c r="CF38" s="57">
        <v>19</v>
      </c>
      <c r="CG38" s="76">
        <f t="shared" si="12"/>
        <v>13</v>
      </c>
      <c r="CH38" s="27"/>
      <c r="CI38" s="15"/>
    </row>
    <row r="39" spans="1:88" ht="13.5" x14ac:dyDescent="0.2">
      <c r="A39" s="112">
        <f t="shared" si="0"/>
        <v>25</v>
      </c>
      <c r="B39" s="107"/>
      <c r="C39" s="101"/>
      <c r="D39" s="62"/>
      <c r="E39" s="39"/>
      <c r="F39" s="40"/>
      <c r="G39" s="41"/>
      <c r="H39" s="57">
        <v>14</v>
      </c>
      <c r="I39" s="57">
        <v>18</v>
      </c>
      <c r="J39" s="57">
        <v>13</v>
      </c>
      <c r="K39" s="75">
        <f t="shared" si="1"/>
        <v>15</v>
      </c>
      <c r="L39" s="45"/>
      <c r="M39" s="46"/>
      <c r="N39" s="41"/>
      <c r="O39" s="57">
        <v>14</v>
      </c>
      <c r="P39" s="57">
        <v>15</v>
      </c>
      <c r="Q39" s="57">
        <v>10</v>
      </c>
      <c r="R39" s="25">
        <f t="shared" si="2"/>
        <v>13</v>
      </c>
      <c r="S39" s="54"/>
      <c r="T39" s="46"/>
      <c r="U39" s="41"/>
      <c r="V39" s="57">
        <v>7</v>
      </c>
      <c r="W39" s="57">
        <v>15</v>
      </c>
      <c r="X39" s="57">
        <v>14</v>
      </c>
      <c r="Y39" s="25">
        <f t="shared" si="3"/>
        <v>12</v>
      </c>
      <c r="Z39" s="45"/>
      <c r="AA39" s="46"/>
      <c r="AB39" s="41"/>
      <c r="AC39" s="57">
        <v>10</v>
      </c>
      <c r="AD39" s="57">
        <v>10</v>
      </c>
      <c r="AE39" s="57">
        <v>10</v>
      </c>
      <c r="AF39" s="25">
        <f t="shared" si="4"/>
        <v>10</v>
      </c>
      <c r="AG39" s="45"/>
      <c r="AH39" s="46"/>
      <c r="AI39" s="73"/>
      <c r="AJ39" s="57">
        <v>17</v>
      </c>
      <c r="AK39" s="57">
        <v>15</v>
      </c>
      <c r="AL39" s="57">
        <v>10</v>
      </c>
      <c r="AM39" s="25">
        <f t="shared" si="5"/>
        <v>14</v>
      </c>
      <c r="AN39" s="49"/>
      <c r="AO39" s="50"/>
      <c r="AP39" s="57">
        <v>7</v>
      </c>
      <c r="AQ39" s="57">
        <v>15</v>
      </c>
      <c r="AR39" s="57">
        <v>14</v>
      </c>
      <c r="AS39" s="25">
        <f t="shared" si="6"/>
        <v>12</v>
      </c>
      <c r="AT39" s="49"/>
      <c r="AU39" s="50"/>
      <c r="AV39" s="57">
        <v>10</v>
      </c>
      <c r="AW39" s="57">
        <v>7</v>
      </c>
      <c r="AX39" s="57">
        <v>13</v>
      </c>
      <c r="AY39" s="25">
        <f t="shared" si="7"/>
        <v>10</v>
      </c>
      <c r="AZ39" s="49"/>
      <c r="BA39" s="42"/>
      <c r="BB39" s="42"/>
      <c r="BC39" s="57">
        <v>11</v>
      </c>
      <c r="BD39" s="57">
        <v>14</v>
      </c>
      <c r="BE39" s="57">
        <v>14</v>
      </c>
      <c r="BF39" s="25">
        <f t="shared" si="8"/>
        <v>13</v>
      </c>
      <c r="BG39" s="49"/>
      <c r="BH39" s="50"/>
      <c r="BI39" s="42"/>
      <c r="BJ39" s="42">
        <v>8</v>
      </c>
      <c r="BK39" s="52">
        <v>12</v>
      </c>
      <c r="BL39" s="42">
        <v>7</v>
      </c>
      <c r="BM39" s="25">
        <f t="shared" si="9"/>
        <v>9</v>
      </c>
      <c r="BN39" s="49"/>
      <c r="BO39" s="50"/>
      <c r="BP39" s="41">
        <v>12</v>
      </c>
      <c r="BQ39" s="57">
        <v>7</v>
      </c>
      <c r="BR39" s="57">
        <v>13</v>
      </c>
      <c r="BS39" s="25">
        <f t="shared" si="10"/>
        <v>10.666666666666666</v>
      </c>
      <c r="BT39" s="49"/>
      <c r="BU39" s="50"/>
      <c r="BV39" s="41"/>
      <c r="BW39" s="57">
        <v>14</v>
      </c>
      <c r="BX39" s="57">
        <v>6</v>
      </c>
      <c r="BY39" s="57">
        <v>10</v>
      </c>
      <c r="BZ39" s="25">
        <f t="shared" si="11"/>
        <v>10</v>
      </c>
      <c r="CA39" s="49"/>
      <c r="CB39" s="50"/>
      <c r="CC39" s="41"/>
      <c r="CD39" s="57">
        <v>10</v>
      </c>
      <c r="CE39" s="57">
        <v>10</v>
      </c>
      <c r="CF39" s="57">
        <v>15</v>
      </c>
      <c r="CG39" s="76">
        <f t="shared" si="12"/>
        <v>11.666666666666666</v>
      </c>
      <c r="CH39" s="27"/>
      <c r="CI39" s="15"/>
    </row>
    <row r="40" spans="1:88" ht="15.75" customHeight="1" x14ac:dyDescent="0.2">
      <c r="A40" s="112">
        <f t="shared" si="0"/>
        <v>26</v>
      </c>
      <c r="B40" s="107"/>
      <c r="C40" s="101"/>
      <c r="D40" s="62"/>
      <c r="E40" s="39"/>
      <c r="F40" s="40"/>
      <c r="G40" s="41"/>
      <c r="H40" s="57">
        <v>16</v>
      </c>
      <c r="I40" s="57">
        <v>12</v>
      </c>
      <c r="J40" s="57">
        <v>10</v>
      </c>
      <c r="K40" s="25">
        <f t="shared" si="1"/>
        <v>12.666666666666666</v>
      </c>
      <c r="L40" s="45"/>
      <c r="M40" s="46"/>
      <c r="N40" s="41"/>
      <c r="O40" s="57">
        <v>13</v>
      </c>
      <c r="P40" s="57">
        <v>6</v>
      </c>
      <c r="Q40" s="57">
        <v>7</v>
      </c>
      <c r="R40" s="25">
        <f t="shared" si="2"/>
        <v>8.6666666666666661</v>
      </c>
      <c r="S40" s="54"/>
      <c r="T40" s="46"/>
      <c r="U40" s="41"/>
      <c r="V40" s="57">
        <v>9</v>
      </c>
      <c r="W40" s="57">
        <v>16</v>
      </c>
      <c r="X40" s="57">
        <v>15</v>
      </c>
      <c r="Y40" s="25">
        <f t="shared" si="3"/>
        <v>13.333333333333334</v>
      </c>
      <c r="Z40" s="45"/>
      <c r="AA40" s="46"/>
      <c r="AB40" s="41"/>
      <c r="AC40" s="57">
        <v>12</v>
      </c>
      <c r="AD40" s="57">
        <v>11</v>
      </c>
      <c r="AE40" s="57">
        <v>10</v>
      </c>
      <c r="AF40" s="25">
        <f t="shared" si="4"/>
        <v>11</v>
      </c>
      <c r="AG40" s="45"/>
      <c r="AH40" s="46"/>
      <c r="AI40" s="73"/>
      <c r="AJ40" s="57">
        <v>19</v>
      </c>
      <c r="AK40" s="57">
        <v>20</v>
      </c>
      <c r="AL40" s="57">
        <v>18</v>
      </c>
      <c r="AM40" s="25">
        <f t="shared" si="5"/>
        <v>19</v>
      </c>
      <c r="AN40" s="49"/>
      <c r="AO40" s="50"/>
      <c r="AP40" s="57">
        <v>9</v>
      </c>
      <c r="AQ40" s="57">
        <v>16</v>
      </c>
      <c r="AR40" s="57">
        <v>15</v>
      </c>
      <c r="AS40" s="25">
        <f t="shared" si="6"/>
        <v>13.333333333333334</v>
      </c>
      <c r="AT40" s="49"/>
      <c r="AU40" s="50"/>
      <c r="AV40" s="57">
        <v>12</v>
      </c>
      <c r="AW40" s="57">
        <v>5</v>
      </c>
      <c r="AX40" s="57">
        <v>12</v>
      </c>
      <c r="AY40" s="25">
        <f t="shared" si="7"/>
        <v>9.6666666666666661</v>
      </c>
      <c r="AZ40" s="49"/>
      <c r="BA40" s="42"/>
      <c r="BB40" s="42"/>
      <c r="BC40" s="57">
        <v>10</v>
      </c>
      <c r="BD40" s="57">
        <v>14</v>
      </c>
      <c r="BE40" s="57">
        <v>6</v>
      </c>
      <c r="BF40" s="25">
        <f t="shared" si="8"/>
        <v>10</v>
      </c>
      <c r="BG40" s="49"/>
      <c r="BH40" s="50"/>
      <c r="BI40" s="42"/>
      <c r="BJ40" s="42">
        <v>15</v>
      </c>
      <c r="BK40" s="52">
        <v>10</v>
      </c>
      <c r="BL40" s="42">
        <v>10</v>
      </c>
      <c r="BM40" s="25">
        <f t="shared" si="9"/>
        <v>11.666666666666666</v>
      </c>
      <c r="BN40" s="49"/>
      <c r="BO40" s="50"/>
      <c r="BP40" s="41">
        <v>12</v>
      </c>
      <c r="BQ40" s="57">
        <v>9</v>
      </c>
      <c r="BR40" s="57">
        <v>12</v>
      </c>
      <c r="BS40" s="25">
        <f t="shared" si="10"/>
        <v>11</v>
      </c>
      <c r="BT40" s="49"/>
      <c r="BU40" s="50"/>
      <c r="BV40" s="41"/>
      <c r="BW40" s="57">
        <v>14</v>
      </c>
      <c r="BX40" s="57">
        <v>9</v>
      </c>
      <c r="BY40" s="57">
        <v>7</v>
      </c>
      <c r="BZ40" s="25">
        <f t="shared" si="11"/>
        <v>10</v>
      </c>
      <c r="CA40" s="49"/>
      <c r="CB40" s="50"/>
      <c r="CC40" s="41"/>
      <c r="CD40" s="57">
        <v>12</v>
      </c>
      <c r="CE40" s="57">
        <v>12</v>
      </c>
      <c r="CF40" s="57">
        <v>17</v>
      </c>
      <c r="CG40" s="76">
        <f t="shared" si="12"/>
        <v>13.666666666666666</v>
      </c>
      <c r="CH40" s="29"/>
      <c r="CI40" s="15"/>
    </row>
    <row r="41" spans="1:88" ht="13.5" x14ac:dyDescent="0.2">
      <c r="A41" s="112">
        <f t="shared" si="0"/>
        <v>27</v>
      </c>
      <c r="B41" s="107"/>
      <c r="C41" s="101"/>
      <c r="D41" s="62"/>
      <c r="E41" s="39"/>
      <c r="F41" s="40"/>
      <c r="G41" s="41"/>
      <c r="H41" s="57">
        <v>15</v>
      </c>
      <c r="I41" s="57">
        <v>13</v>
      </c>
      <c r="J41" s="57">
        <v>15</v>
      </c>
      <c r="K41" s="88">
        <f t="shared" si="1"/>
        <v>14.333333333333334</v>
      </c>
      <c r="L41" s="45"/>
      <c r="M41" s="46"/>
      <c r="N41" s="41"/>
      <c r="O41" s="57">
        <v>12</v>
      </c>
      <c r="P41" s="57">
        <v>15</v>
      </c>
      <c r="Q41" s="57">
        <v>6</v>
      </c>
      <c r="R41" s="25">
        <f t="shared" si="2"/>
        <v>11</v>
      </c>
      <c r="S41" s="54"/>
      <c r="T41" s="46"/>
      <c r="U41" s="41"/>
      <c r="V41" s="57">
        <v>10</v>
      </c>
      <c r="W41" s="57">
        <v>16</v>
      </c>
      <c r="X41" s="57">
        <v>17</v>
      </c>
      <c r="Y41" s="25">
        <f t="shared" si="3"/>
        <v>14.333333333333334</v>
      </c>
      <c r="Z41" s="45"/>
      <c r="AA41" s="46"/>
      <c r="AB41" s="41"/>
      <c r="AC41" s="57">
        <v>14</v>
      </c>
      <c r="AD41" s="57">
        <v>15</v>
      </c>
      <c r="AE41" s="57">
        <v>14</v>
      </c>
      <c r="AF41" s="25">
        <f t="shared" si="4"/>
        <v>14.333333333333334</v>
      </c>
      <c r="AG41" s="45"/>
      <c r="AH41" s="46"/>
      <c r="AI41" s="73"/>
      <c r="AJ41" s="57">
        <v>19</v>
      </c>
      <c r="AK41" s="57">
        <v>18</v>
      </c>
      <c r="AL41" s="57">
        <v>9</v>
      </c>
      <c r="AM41" s="25">
        <f t="shared" si="5"/>
        <v>15.333333333333334</v>
      </c>
      <c r="AN41" s="49"/>
      <c r="AO41" s="50"/>
      <c r="AP41" s="57">
        <v>10</v>
      </c>
      <c r="AQ41" s="57">
        <v>16</v>
      </c>
      <c r="AR41" s="57">
        <v>17</v>
      </c>
      <c r="AS41" s="25">
        <f t="shared" si="6"/>
        <v>14.333333333333334</v>
      </c>
      <c r="AT41" s="49"/>
      <c r="AU41" s="50"/>
      <c r="AV41" s="57">
        <v>12</v>
      </c>
      <c r="AW41" s="57">
        <v>8</v>
      </c>
      <c r="AX41" s="57">
        <v>9</v>
      </c>
      <c r="AY41" s="25">
        <f t="shared" si="7"/>
        <v>9.6666666666666661</v>
      </c>
      <c r="AZ41" s="49"/>
      <c r="BA41" s="42"/>
      <c r="BB41" s="42"/>
      <c r="BC41" s="57">
        <v>10</v>
      </c>
      <c r="BD41" s="57">
        <v>14</v>
      </c>
      <c r="BE41" s="57">
        <v>6</v>
      </c>
      <c r="BF41" s="25">
        <f t="shared" si="8"/>
        <v>10</v>
      </c>
      <c r="BG41" s="49"/>
      <c r="BH41" s="50"/>
      <c r="BI41" s="42"/>
      <c r="BJ41" s="42">
        <v>15</v>
      </c>
      <c r="BK41" s="52">
        <v>13</v>
      </c>
      <c r="BL41" s="42">
        <v>8</v>
      </c>
      <c r="BM41" s="25">
        <f t="shared" si="9"/>
        <v>12</v>
      </c>
      <c r="BN41" s="49"/>
      <c r="BO41" s="50"/>
      <c r="BP41" s="41">
        <v>12</v>
      </c>
      <c r="BQ41" s="57">
        <v>12</v>
      </c>
      <c r="BR41" s="57">
        <v>9</v>
      </c>
      <c r="BS41" s="25">
        <f t="shared" si="10"/>
        <v>11</v>
      </c>
      <c r="BT41" s="49"/>
      <c r="BU41" s="50"/>
      <c r="BV41" s="41"/>
      <c r="BW41" s="57">
        <v>12</v>
      </c>
      <c r="BX41" s="57">
        <v>12</v>
      </c>
      <c r="BY41" s="57">
        <v>16</v>
      </c>
      <c r="BZ41" s="25">
        <f t="shared" si="11"/>
        <v>13.333333333333334</v>
      </c>
      <c r="CA41" s="49"/>
      <c r="CB41" s="50"/>
      <c r="CC41" s="41"/>
      <c r="CD41" s="57">
        <v>13</v>
      </c>
      <c r="CE41" s="57">
        <v>15</v>
      </c>
      <c r="CF41" s="57">
        <v>16</v>
      </c>
      <c r="CG41" s="76">
        <f t="shared" si="12"/>
        <v>14.666666666666666</v>
      </c>
      <c r="CH41" s="27"/>
      <c r="CI41" s="15"/>
    </row>
    <row r="42" spans="1:88" ht="12.75" customHeight="1" x14ac:dyDescent="0.2">
      <c r="A42" s="112">
        <f t="shared" si="0"/>
        <v>28</v>
      </c>
      <c r="B42" s="107"/>
      <c r="C42" s="101"/>
      <c r="D42" s="62"/>
      <c r="E42" s="39"/>
      <c r="F42" s="40"/>
      <c r="G42" s="41"/>
      <c r="H42" s="57">
        <v>17</v>
      </c>
      <c r="I42" s="57">
        <v>15</v>
      </c>
      <c r="J42" s="57">
        <v>17</v>
      </c>
      <c r="K42" s="25">
        <f t="shared" si="1"/>
        <v>16.333333333333332</v>
      </c>
      <c r="L42" s="45"/>
      <c r="M42" s="46"/>
      <c r="N42" s="41"/>
      <c r="O42" s="57">
        <v>16</v>
      </c>
      <c r="P42" s="57">
        <v>11</v>
      </c>
      <c r="Q42" s="57">
        <v>5</v>
      </c>
      <c r="R42" s="25">
        <f t="shared" si="2"/>
        <v>10.666666666666666</v>
      </c>
      <c r="S42" s="54"/>
      <c r="T42" s="46"/>
      <c r="U42" s="41"/>
      <c r="V42" s="57">
        <v>10</v>
      </c>
      <c r="W42" s="57">
        <v>16</v>
      </c>
      <c r="X42" s="57">
        <v>18</v>
      </c>
      <c r="Y42" s="25">
        <f t="shared" si="3"/>
        <v>14.666666666666666</v>
      </c>
      <c r="Z42" s="45"/>
      <c r="AA42" s="46"/>
      <c r="AB42" s="41"/>
      <c r="AC42" s="57">
        <v>10</v>
      </c>
      <c r="AD42" s="57">
        <v>11</v>
      </c>
      <c r="AE42" s="57">
        <v>11</v>
      </c>
      <c r="AF42" s="25">
        <f t="shared" si="4"/>
        <v>10.666666666666666</v>
      </c>
      <c r="AG42" s="45"/>
      <c r="AH42" s="46"/>
      <c r="AI42" s="73"/>
      <c r="AJ42" s="57">
        <v>7</v>
      </c>
      <c r="AK42" s="57">
        <v>5</v>
      </c>
      <c r="AL42" s="57">
        <v>8</v>
      </c>
      <c r="AM42" s="25">
        <f t="shared" si="5"/>
        <v>6.666666666666667</v>
      </c>
      <c r="AN42" s="49"/>
      <c r="AO42" s="50"/>
      <c r="AP42" s="57">
        <v>10</v>
      </c>
      <c r="AQ42" s="57">
        <v>16</v>
      </c>
      <c r="AR42" s="57">
        <v>18</v>
      </c>
      <c r="AS42" s="25">
        <f t="shared" si="6"/>
        <v>14.666666666666666</v>
      </c>
      <c r="AT42" s="49"/>
      <c r="AU42" s="50"/>
      <c r="AV42" s="57">
        <v>12</v>
      </c>
      <c r="AW42" s="57">
        <v>10</v>
      </c>
      <c r="AX42" s="57">
        <v>7</v>
      </c>
      <c r="AY42" s="25">
        <f t="shared" si="7"/>
        <v>9.6666666666666661</v>
      </c>
      <c r="AZ42" s="49"/>
      <c r="BA42" s="42"/>
      <c r="BB42" s="42"/>
      <c r="BC42" s="57">
        <v>11</v>
      </c>
      <c r="BD42" s="57">
        <v>13</v>
      </c>
      <c r="BE42" s="57">
        <v>10</v>
      </c>
      <c r="BF42" s="25">
        <f t="shared" si="8"/>
        <v>11.333333333333334</v>
      </c>
      <c r="BG42" s="49"/>
      <c r="BH42" s="50"/>
      <c r="BI42" s="42"/>
      <c r="BJ42" s="42">
        <v>16</v>
      </c>
      <c r="BK42" s="52">
        <v>8</v>
      </c>
      <c r="BL42" s="42">
        <v>9</v>
      </c>
      <c r="BM42" s="25">
        <f t="shared" si="9"/>
        <v>11</v>
      </c>
      <c r="BN42" s="49"/>
      <c r="BO42" s="50"/>
      <c r="BP42" s="41">
        <v>15</v>
      </c>
      <c r="BQ42" s="57">
        <v>15</v>
      </c>
      <c r="BR42" s="57">
        <v>10</v>
      </c>
      <c r="BS42" s="25">
        <f t="shared" si="10"/>
        <v>13.333333333333334</v>
      </c>
      <c r="BT42" s="49"/>
      <c r="BU42" s="50"/>
      <c r="BV42" s="41"/>
      <c r="BW42" s="57">
        <v>14</v>
      </c>
      <c r="BX42" s="57">
        <v>9</v>
      </c>
      <c r="BY42" s="57">
        <v>9</v>
      </c>
      <c r="BZ42" s="25">
        <f t="shared" si="11"/>
        <v>10.666666666666666</v>
      </c>
      <c r="CA42" s="49"/>
      <c r="CB42" s="50"/>
      <c r="CC42" s="41"/>
      <c r="CD42" s="57">
        <v>13</v>
      </c>
      <c r="CE42" s="57">
        <v>15</v>
      </c>
      <c r="CF42" s="57">
        <v>17</v>
      </c>
      <c r="CG42" s="76">
        <f t="shared" si="12"/>
        <v>15</v>
      </c>
      <c r="CH42" s="27"/>
      <c r="CI42" s="15"/>
    </row>
    <row r="43" spans="1:88" ht="13.5" customHeight="1" x14ac:dyDescent="0.2">
      <c r="A43" s="112">
        <f t="shared" si="0"/>
        <v>29</v>
      </c>
      <c r="B43" s="107"/>
      <c r="C43" s="101"/>
      <c r="D43" s="62"/>
      <c r="E43" s="39"/>
      <c r="F43" s="40"/>
      <c r="G43" s="41"/>
      <c r="H43" s="57">
        <v>18</v>
      </c>
      <c r="I43" s="57">
        <v>17</v>
      </c>
      <c r="J43" s="57">
        <v>18</v>
      </c>
      <c r="K43" s="25">
        <f t="shared" si="1"/>
        <v>17.666666666666668</v>
      </c>
      <c r="L43" s="45"/>
      <c r="M43" s="46"/>
      <c r="N43" s="41"/>
      <c r="O43" s="57">
        <v>17</v>
      </c>
      <c r="P43" s="57">
        <v>19</v>
      </c>
      <c r="Q43" s="57">
        <v>13</v>
      </c>
      <c r="R43" s="25">
        <f t="shared" si="2"/>
        <v>16.333333333333332</v>
      </c>
      <c r="S43" s="54"/>
      <c r="T43" s="46"/>
      <c r="U43" s="41"/>
      <c r="V43" s="57">
        <v>8</v>
      </c>
      <c r="W43" s="57">
        <v>19</v>
      </c>
      <c r="X43" s="57">
        <v>16</v>
      </c>
      <c r="Y43" s="25">
        <f t="shared" si="3"/>
        <v>14.333333333333334</v>
      </c>
      <c r="Z43" s="45"/>
      <c r="AA43" s="46"/>
      <c r="AB43" s="41"/>
      <c r="AC43" s="57">
        <v>10</v>
      </c>
      <c r="AD43" s="57">
        <v>12</v>
      </c>
      <c r="AE43" s="57">
        <v>10</v>
      </c>
      <c r="AF43" s="25">
        <f t="shared" si="4"/>
        <v>10.666666666666666</v>
      </c>
      <c r="AG43" s="45"/>
      <c r="AH43" s="46"/>
      <c r="AI43" s="73"/>
      <c r="AJ43" s="57">
        <v>19</v>
      </c>
      <c r="AK43" s="57">
        <v>19</v>
      </c>
      <c r="AL43" s="57">
        <v>16</v>
      </c>
      <c r="AM43" s="25">
        <f t="shared" si="5"/>
        <v>18</v>
      </c>
      <c r="AN43" s="49"/>
      <c r="AO43" s="50"/>
      <c r="AP43" s="57">
        <v>8</v>
      </c>
      <c r="AQ43" s="57">
        <v>19</v>
      </c>
      <c r="AR43" s="57">
        <v>16</v>
      </c>
      <c r="AS43" s="25">
        <f t="shared" si="6"/>
        <v>14.333333333333334</v>
      </c>
      <c r="AT43" s="49"/>
      <c r="AU43" s="50"/>
      <c r="AV43" s="57">
        <v>12</v>
      </c>
      <c r="AW43" s="57">
        <v>5</v>
      </c>
      <c r="AX43" s="57">
        <v>13</v>
      </c>
      <c r="AY43" s="25">
        <f t="shared" si="7"/>
        <v>10</v>
      </c>
      <c r="AZ43" s="49"/>
      <c r="BA43" s="42"/>
      <c r="BB43" s="42"/>
      <c r="BC43" s="57">
        <v>10</v>
      </c>
      <c r="BD43" s="57">
        <v>14</v>
      </c>
      <c r="BE43" s="57">
        <v>11</v>
      </c>
      <c r="BF43" s="25">
        <f t="shared" si="8"/>
        <v>11.666666666666666</v>
      </c>
      <c r="BG43" s="49"/>
      <c r="BH43" s="50"/>
      <c r="BI43" s="42"/>
      <c r="BJ43" s="42">
        <v>14</v>
      </c>
      <c r="BK43" s="52">
        <v>16</v>
      </c>
      <c r="BL43" s="42">
        <v>13</v>
      </c>
      <c r="BM43" s="25">
        <f t="shared" si="9"/>
        <v>14.333333333333334</v>
      </c>
      <c r="BN43" s="49"/>
      <c r="BO43" s="50"/>
      <c r="BP43" s="41">
        <v>12</v>
      </c>
      <c r="BQ43" s="57">
        <v>14</v>
      </c>
      <c r="BR43" s="57">
        <v>15</v>
      </c>
      <c r="BS43" s="25">
        <f t="shared" si="10"/>
        <v>13.666666666666666</v>
      </c>
      <c r="BT43" s="49"/>
      <c r="BU43" s="50"/>
      <c r="BV43" s="41"/>
      <c r="BW43" s="57">
        <v>14</v>
      </c>
      <c r="BX43" s="57">
        <v>5</v>
      </c>
      <c r="BY43" s="57">
        <v>4</v>
      </c>
      <c r="BZ43" s="25">
        <f t="shared" si="11"/>
        <v>7.666666666666667</v>
      </c>
      <c r="CA43" s="49"/>
      <c r="CB43" s="50"/>
      <c r="CC43" s="41"/>
      <c r="CD43" s="57">
        <v>11</v>
      </c>
      <c r="CE43" s="57">
        <v>10</v>
      </c>
      <c r="CF43" s="57">
        <v>16</v>
      </c>
      <c r="CG43" s="76">
        <f t="shared" si="12"/>
        <v>12.333333333333334</v>
      </c>
      <c r="CH43" s="27"/>
      <c r="CI43" s="15"/>
    </row>
    <row r="44" spans="1:88" ht="13.5" x14ac:dyDescent="0.2">
      <c r="A44" s="112">
        <f t="shared" si="0"/>
        <v>30</v>
      </c>
      <c r="B44" s="107"/>
      <c r="C44" s="101"/>
      <c r="D44" s="62"/>
      <c r="E44" s="39"/>
      <c r="F44" s="40"/>
      <c r="G44" s="41"/>
      <c r="H44" s="57">
        <v>14</v>
      </c>
      <c r="I44" s="57">
        <v>15</v>
      </c>
      <c r="J44" s="57">
        <v>8</v>
      </c>
      <c r="K44" s="88">
        <f t="shared" si="1"/>
        <v>12.333333333333334</v>
      </c>
      <c r="L44" s="45"/>
      <c r="M44" s="46"/>
      <c r="N44" s="41"/>
      <c r="O44" s="57">
        <v>14</v>
      </c>
      <c r="P44" s="57">
        <v>13</v>
      </c>
      <c r="Q44" s="57">
        <v>7</v>
      </c>
      <c r="R44" s="25">
        <f t="shared" si="2"/>
        <v>11.333333333333334</v>
      </c>
      <c r="S44" s="54"/>
      <c r="T44" s="46"/>
      <c r="U44" s="41"/>
      <c r="V44" s="57">
        <v>10</v>
      </c>
      <c r="W44" s="57">
        <v>16</v>
      </c>
      <c r="X44" s="57">
        <v>14</v>
      </c>
      <c r="Y44" s="25">
        <f t="shared" si="3"/>
        <v>13.333333333333334</v>
      </c>
      <c r="Z44" s="45"/>
      <c r="AA44" s="46"/>
      <c r="AB44" s="41"/>
      <c r="AC44" s="57">
        <v>11</v>
      </c>
      <c r="AD44" s="57">
        <v>14</v>
      </c>
      <c r="AE44" s="57">
        <v>12</v>
      </c>
      <c r="AF44" s="25">
        <f t="shared" si="4"/>
        <v>12.333333333333334</v>
      </c>
      <c r="AG44" s="45"/>
      <c r="AH44" s="46"/>
      <c r="AI44" s="73"/>
      <c r="AJ44" s="57">
        <v>19</v>
      </c>
      <c r="AK44" s="57">
        <v>19</v>
      </c>
      <c r="AL44" s="57">
        <v>11</v>
      </c>
      <c r="AM44" s="25">
        <f t="shared" si="5"/>
        <v>16.333333333333332</v>
      </c>
      <c r="AN44" s="49"/>
      <c r="AO44" s="50"/>
      <c r="AP44" s="57">
        <v>10</v>
      </c>
      <c r="AQ44" s="57">
        <v>16</v>
      </c>
      <c r="AR44" s="57">
        <v>14</v>
      </c>
      <c r="AS44" s="25">
        <f t="shared" si="6"/>
        <v>13.333333333333334</v>
      </c>
      <c r="AT44" s="49"/>
      <c r="AU44" s="50"/>
      <c r="AV44" s="57">
        <v>14</v>
      </c>
      <c r="AW44" s="57">
        <v>5</v>
      </c>
      <c r="AX44" s="57">
        <v>16</v>
      </c>
      <c r="AY44" s="25">
        <f t="shared" si="7"/>
        <v>11.666666666666666</v>
      </c>
      <c r="AZ44" s="49"/>
      <c r="BA44" s="42"/>
      <c r="BB44" s="42"/>
      <c r="BC44" s="57">
        <v>10</v>
      </c>
      <c r="BD44" s="57">
        <v>13</v>
      </c>
      <c r="BE44" s="57">
        <v>6</v>
      </c>
      <c r="BF44" s="25">
        <f t="shared" si="8"/>
        <v>9.6666666666666661</v>
      </c>
      <c r="BG44" s="49"/>
      <c r="BH44" s="50"/>
      <c r="BI44" s="42"/>
      <c r="BJ44" s="42">
        <v>8</v>
      </c>
      <c r="BK44" s="52">
        <v>13</v>
      </c>
      <c r="BL44" s="42">
        <v>7</v>
      </c>
      <c r="BM44" s="25">
        <f t="shared" si="9"/>
        <v>9.3333333333333339</v>
      </c>
      <c r="BN44" s="49"/>
      <c r="BO44" s="50"/>
      <c r="BP44" s="41">
        <v>12</v>
      </c>
      <c r="BQ44" s="57">
        <v>7</v>
      </c>
      <c r="BR44" s="57">
        <v>10</v>
      </c>
      <c r="BS44" s="25">
        <f t="shared" si="10"/>
        <v>9.6666666666666661</v>
      </c>
      <c r="BT44" s="49"/>
      <c r="BU44" s="50"/>
      <c r="BV44" s="41"/>
      <c r="BW44" s="57">
        <v>12</v>
      </c>
      <c r="BX44" s="57">
        <v>4</v>
      </c>
      <c r="BY44" s="57">
        <v>9</v>
      </c>
      <c r="BZ44" s="25">
        <f t="shared" si="11"/>
        <v>8.3333333333333339</v>
      </c>
      <c r="CA44" s="49"/>
      <c r="CB44" s="50"/>
      <c r="CC44" s="41"/>
      <c r="CD44" s="57">
        <v>13</v>
      </c>
      <c r="CE44" s="57">
        <v>13</v>
      </c>
      <c r="CF44" s="57">
        <v>16</v>
      </c>
      <c r="CG44" s="76">
        <f t="shared" si="12"/>
        <v>14</v>
      </c>
      <c r="CH44" s="27"/>
      <c r="CI44" s="15"/>
    </row>
    <row r="45" spans="1:88" ht="13.5" customHeight="1" x14ac:dyDescent="0.2">
      <c r="A45" s="112">
        <f t="shared" si="0"/>
        <v>31</v>
      </c>
      <c r="B45" s="107"/>
      <c r="C45" s="101"/>
      <c r="D45" s="62"/>
      <c r="E45" s="39"/>
      <c r="F45" s="40"/>
      <c r="G45" s="41"/>
      <c r="H45" s="57">
        <v>18</v>
      </c>
      <c r="I45" s="57">
        <v>20</v>
      </c>
      <c r="J45" s="74">
        <v>18</v>
      </c>
      <c r="K45" s="75">
        <f t="shared" si="1"/>
        <v>18.666666666666668</v>
      </c>
      <c r="L45" s="45"/>
      <c r="M45" s="46"/>
      <c r="N45" s="41"/>
      <c r="O45" s="57">
        <v>19</v>
      </c>
      <c r="P45" s="57">
        <v>19</v>
      </c>
      <c r="Q45" s="57">
        <v>6</v>
      </c>
      <c r="R45" s="25">
        <f t="shared" si="2"/>
        <v>14.666666666666666</v>
      </c>
      <c r="S45" s="54"/>
      <c r="T45" s="46"/>
      <c r="U45" s="41"/>
      <c r="V45" s="57">
        <v>10</v>
      </c>
      <c r="W45" s="57">
        <v>19</v>
      </c>
      <c r="X45" s="57">
        <v>18</v>
      </c>
      <c r="Y45" s="25">
        <f t="shared" si="3"/>
        <v>15.666666666666666</v>
      </c>
      <c r="Z45" s="45"/>
      <c r="AA45" s="46"/>
      <c r="AB45" s="41"/>
      <c r="AC45" s="57">
        <v>12</v>
      </c>
      <c r="AD45" s="57">
        <v>10</v>
      </c>
      <c r="AE45" s="57">
        <v>10</v>
      </c>
      <c r="AF45" s="25">
        <f t="shared" si="4"/>
        <v>10.666666666666666</v>
      </c>
      <c r="AG45" s="45"/>
      <c r="AH45" s="46"/>
      <c r="AI45" s="73"/>
      <c r="AJ45" s="74">
        <v>17</v>
      </c>
      <c r="AK45" s="57">
        <v>15</v>
      </c>
      <c r="AL45" s="57">
        <v>12</v>
      </c>
      <c r="AM45" s="25">
        <f t="shared" si="5"/>
        <v>14.666666666666666</v>
      </c>
      <c r="AN45" s="49"/>
      <c r="AO45" s="50"/>
      <c r="AP45" s="57">
        <v>10</v>
      </c>
      <c r="AQ45" s="57">
        <v>19</v>
      </c>
      <c r="AR45" s="57">
        <v>18</v>
      </c>
      <c r="AS45" s="25">
        <f t="shared" si="6"/>
        <v>15.666666666666666</v>
      </c>
      <c r="AT45" s="49"/>
      <c r="AU45" s="50"/>
      <c r="AV45" s="57">
        <v>14</v>
      </c>
      <c r="AW45" s="57">
        <v>5</v>
      </c>
      <c r="AX45" s="74">
        <v>13</v>
      </c>
      <c r="AY45" s="25">
        <f t="shared" si="7"/>
        <v>10.666666666666666</v>
      </c>
      <c r="AZ45" s="49"/>
      <c r="BA45" s="42"/>
      <c r="BB45" s="42"/>
      <c r="BC45" s="57">
        <v>13</v>
      </c>
      <c r="BD45" s="57">
        <v>14</v>
      </c>
      <c r="BE45" s="57">
        <v>15</v>
      </c>
      <c r="BF45" s="25">
        <f t="shared" si="8"/>
        <v>14</v>
      </c>
      <c r="BG45" s="49"/>
      <c r="BH45" s="50"/>
      <c r="BI45" s="42"/>
      <c r="BJ45" s="83">
        <v>14</v>
      </c>
      <c r="BK45" s="82">
        <v>13</v>
      </c>
      <c r="BL45" s="42">
        <v>17</v>
      </c>
      <c r="BM45" s="25">
        <f t="shared" si="9"/>
        <v>14.666666666666666</v>
      </c>
      <c r="BN45" s="49"/>
      <c r="BO45" s="50"/>
      <c r="BP45" s="41">
        <v>11</v>
      </c>
      <c r="BQ45" s="57">
        <v>14</v>
      </c>
      <c r="BR45" s="57">
        <v>13</v>
      </c>
      <c r="BS45" s="25">
        <f t="shared" si="10"/>
        <v>12.666666666666666</v>
      </c>
      <c r="BT45" s="49"/>
      <c r="BU45" s="50"/>
      <c r="BV45" s="41"/>
      <c r="BW45" s="57">
        <v>14</v>
      </c>
      <c r="BX45" s="74">
        <v>6</v>
      </c>
      <c r="BY45" s="57">
        <v>1</v>
      </c>
      <c r="BZ45" s="25">
        <f t="shared" si="11"/>
        <v>7</v>
      </c>
      <c r="CA45" s="49"/>
      <c r="CB45" s="50"/>
      <c r="CC45" s="41"/>
      <c r="CD45" s="57">
        <v>11</v>
      </c>
      <c r="CE45" s="57">
        <v>15</v>
      </c>
      <c r="CF45" s="74">
        <v>17</v>
      </c>
      <c r="CG45" s="76">
        <f t="shared" si="12"/>
        <v>14.333333333333334</v>
      </c>
      <c r="CH45" s="27"/>
      <c r="CI45" s="15"/>
    </row>
    <row r="46" spans="1:88" ht="13.5" customHeight="1" x14ac:dyDescent="0.2">
      <c r="A46" s="112">
        <f t="shared" si="0"/>
        <v>32</v>
      </c>
      <c r="B46" s="107"/>
      <c r="C46" s="101"/>
      <c r="D46" s="62"/>
      <c r="E46" s="39"/>
      <c r="F46" s="40"/>
      <c r="G46" s="41"/>
      <c r="H46" s="57">
        <v>14</v>
      </c>
      <c r="I46" s="77">
        <v>16</v>
      </c>
      <c r="J46" s="57">
        <v>10</v>
      </c>
      <c r="K46" s="75">
        <f t="shared" si="1"/>
        <v>13.333333333333334</v>
      </c>
      <c r="L46" s="45"/>
      <c r="M46" s="46"/>
      <c r="N46" s="41"/>
      <c r="O46" s="57">
        <v>14</v>
      </c>
      <c r="P46" s="57">
        <v>5</v>
      </c>
      <c r="Q46" s="57">
        <v>4</v>
      </c>
      <c r="R46" s="25">
        <f t="shared" si="2"/>
        <v>7.666666666666667</v>
      </c>
      <c r="S46" s="54"/>
      <c r="T46" s="46"/>
      <c r="U46" s="41"/>
      <c r="V46" s="57">
        <v>5</v>
      </c>
      <c r="W46" s="57">
        <v>19</v>
      </c>
      <c r="X46" s="57">
        <v>11</v>
      </c>
      <c r="Y46" s="25">
        <f t="shared" si="3"/>
        <v>11.666666666666666</v>
      </c>
      <c r="Z46" s="45"/>
      <c r="AA46" s="46"/>
      <c r="AB46" s="41"/>
      <c r="AC46" s="57">
        <v>6</v>
      </c>
      <c r="AD46" s="57">
        <v>6</v>
      </c>
      <c r="AE46" s="57">
        <v>6</v>
      </c>
      <c r="AF46" s="25">
        <f t="shared" si="4"/>
        <v>6</v>
      </c>
      <c r="AG46" s="45"/>
      <c r="AH46" s="46"/>
      <c r="AI46" s="73"/>
      <c r="AJ46" s="57">
        <v>15</v>
      </c>
      <c r="AK46" s="78">
        <v>13</v>
      </c>
      <c r="AL46" s="57">
        <v>10</v>
      </c>
      <c r="AM46" s="25">
        <f t="shared" si="5"/>
        <v>12.666666666666666</v>
      </c>
      <c r="AN46" s="49"/>
      <c r="AO46" s="50"/>
      <c r="AP46" s="57">
        <v>5</v>
      </c>
      <c r="AQ46" s="57">
        <v>19</v>
      </c>
      <c r="AR46" s="57">
        <v>11</v>
      </c>
      <c r="AS46" s="25">
        <f t="shared" si="6"/>
        <v>11.666666666666666</v>
      </c>
      <c r="AT46" s="49"/>
      <c r="AU46" s="50"/>
      <c r="AV46" s="57">
        <v>14</v>
      </c>
      <c r="AW46" s="77">
        <v>9</v>
      </c>
      <c r="AX46" s="57">
        <v>6</v>
      </c>
      <c r="AY46" s="25">
        <f t="shared" si="7"/>
        <v>9.6666666666666661</v>
      </c>
      <c r="AZ46" s="49"/>
      <c r="BA46" s="42"/>
      <c r="BB46" s="42"/>
      <c r="BC46" s="57">
        <v>10</v>
      </c>
      <c r="BD46" s="57">
        <v>11</v>
      </c>
      <c r="BE46" s="57">
        <v>6</v>
      </c>
      <c r="BF46" s="25">
        <f t="shared" si="8"/>
        <v>9</v>
      </c>
      <c r="BG46" s="49"/>
      <c r="BH46" s="50"/>
      <c r="BI46" s="79"/>
      <c r="BJ46" s="57">
        <v>8</v>
      </c>
      <c r="BK46" s="57">
        <v>5</v>
      </c>
      <c r="BL46" s="81">
        <v>7</v>
      </c>
      <c r="BM46" s="25">
        <f t="shared" si="9"/>
        <v>6.666666666666667</v>
      </c>
      <c r="BN46" s="49"/>
      <c r="BO46" s="50"/>
      <c r="BP46" s="41">
        <v>11</v>
      </c>
      <c r="BQ46" s="57">
        <v>7</v>
      </c>
      <c r="BR46" s="57">
        <v>13</v>
      </c>
      <c r="BS46" s="25">
        <f t="shared" si="10"/>
        <v>10.333333333333334</v>
      </c>
      <c r="BT46" s="49"/>
      <c r="BU46" s="50"/>
      <c r="BV46" s="41"/>
      <c r="BW46" s="77">
        <v>12</v>
      </c>
      <c r="BX46" s="57">
        <v>5</v>
      </c>
      <c r="BY46" s="78">
        <v>1</v>
      </c>
      <c r="BZ46" s="25">
        <f t="shared" si="11"/>
        <v>6</v>
      </c>
      <c r="CA46" s="49"/>
      <c r="CB46" s="50"/>
      <c r="CC46" s="41"/>
      <c r="CD46" s="57">
        <v>12</v>
      </c>
      <c r="CE46" s="77">
        <v>6</v>
      </c>
      <c r="CF46" s="57">
        <v>12</v>
      </c>
      <c r="CG46" s="76">
        <f t="shared" si="12"/>
        <v>10</v>
      </c>
      <c r="CH46" s="27"/>
      <c r="CI46" s="15"/>
    </row>
    <row r="47" spans="1:88" ht="12" customHeight="1" x14ac:dyDescent="0.2">
      <c r="A47" s="112">
        <f t="shared" si="0"/>
        <v>33</v>
      </c>
      <c r="B47" s="107"/>
      <c r="C47" s="101"/>
      <c r="D47" s="62"/>
      <c r="E47" s="39"/>
      <c r="F47" s="40"/>
      <c r="G47" s="41"/>
      <c r="H47" s="57">
        <v>16</v>
      </c>
      <c r="I47" s="57">
        <v>14</v>
      </c>
      <c r="J47" s="56">
        <v>17</v>
      </c>
      <c r="K47" s="75">
        <f t="shared" si="1"/>
        <v>15.666666666666666</v>
      </c>
      <c r="L47" s="45"/>
      <c r="M47" s="46"/>
      <c r="N47" s="41"/>
      <c r="O47" s="57">
        <v>14</v>
      </c>
      <c r="P47" s="57">
        <v>12</v>
      </c>
      <c r="Q47" s="57">
        <v>6</v>
      </c>
      <c r="R47" s="25">
        <f t="shared" si="2"/>
        <v>10.666666666666666</v>
      </c>
      <c r="S47" s="54"/>
      <c r="T47" s="46"/>
      <c r="U47" s="41"/>
      <c r="V47" s="57">
        <v>10</v>
      </c>
      <c r="W47" s="57">
        <v>16</v>
      </c>
      <c r="X47" s="57">
        <v>16</v>
      </c>
      <c r="Y47" s="25">
        <f t="shared" si="3"/>
        <v>14</v>
      </c>
      <c r="Z47" s="45"/>
      <c r="AA47" s="46"/>
      <c r="AB47" s="41"/>
      <c r="AC47" s="57">
        <v>10</v>
      </c>
      <c r="AD47" s="57">
        <v>10</v>
      </c>
      <c r="AE47" s="57">
        <v>10</v>
      </c>
      <c r="AF47" s="25">
        <f t="shared" si="4"/>
        <v>10</v>
      </c>
      <c r="AG47" s="45"/>
      <c r="AH47" s="46"/>
      <c r="AI47" s="73"/>
      <c r="AJ47" s="56">
        <v>17</v>
      </c>
      <c r="AK47" s="57">
        <v>15</v>
      </c>
      <c r="AL47" s="57">
        <v>13</v>
      </c>
      <c r="AM47" s="25">
        <f t="shared" si="5"/>
        <v>15</v>
      </c>
      <c r="AN47" s="49"/>
      <c r="AO47" s="50"/>
      <c r="AP47" s="57">
        <v>10</v>
      </c>
      <c r="AQ47" s="57">
        <v>16</v>
      </c>
      <c r="AR47" s="57">
        <v>16</v>
      </c>
      <c r="AS47" s="25">
        <f t="shared" si="6"/>
        <v>14</v>
      </c>
      <c r="AT47" s="49"/>
      <c r="AU47" s="50"/>
      <c r="AV47" s="57">
        <v>10</v>
      </c>
      <c r="AW47" s="57">
        <v>10</v>
      </c>
      <c r="AX47" s="56">
        <v>9</v>
      </c>
      <c r="AY47" s="25">
        <f t="shared" si="7"/>
        <v>9.6666666666666661</v>
      </c>
      <c r="AZ47" s="49"/>
      <c r="BA47" s="42"/>
      <c r="BB47" s="42"/>
      <c r="BC47" s="57">
        <v>10</v>
      </c>
      <c r="BD47" s="57">
        <v>13</v>
      </c>
      <c r="BE47" s="57">
        <v>14</v>
      </c>
      <c r="BF47" s="25">
        <f t="shared" si="8"/>
        <v>12.333333333333334</v>
      </c>
      <c r="BG47" s="49"/>
      <c r="BH47" s="50"/>
      <c r="BI47" s="42"/>
      <c r="BJ47" s="55">
        <v>8</v>
      </c>
      <c r="BK47" s="84">
        <v>8</v>
      </c>
      <c r="BL47" s="42">
        <v>9</v>
      </c>
      <c r="BM47" s="25">
        <f t="shared" si="9"/>
        <v>8.3333333333333339</v>
      </c>
      <c r="BN47" s="49"/>
      <c r="BO47" s="50"/>
      <c r="BP47" s="41">
        <v>12</v>
      </c>
      <c r="BQ47" s="57">
        <v>7</v>
      </c>
      <c r="BR47" s="57">
        <v>12</v>
      </c>
      <c r="BS47" s="25">
        <f t="shared" si="10"/>
        <v>10.333333333333334</v>
      </c>
      <c r="BT47" s="49"/>
      <c r="BU47" s="50"/>
      <c r="BV47" s="41"/>
      <c r="BW47" s="57">
        <v>15</v>
      </c>
      <c r="BX47" s="56">
        <v>11</v>
      </c>
      <c r="BY47" s="57">
        <v>10</v>
      </c>
      <c r="BZ47" s="25">
        <f t="shared" si="11"/>
        <v>12</v>
      </c>
      <c r="CA47" s="49"/>
      <c r="CB47" s="50"/>
      <c r="CC47" s="41"/>
      <c r="CD47" s="57">
        <v>12</v>
      </c>
      <c r="CE47" s="57">
        <v>12</v>
      </c>
      <c r="CF47" s="56">
        <v>15</v>
      </c>
      <c r="CG47" s="76">
        <f t="shared" si="12"/>
        <v>13</v>
      </c>
      <c r="CH47" s="27"/>
      <c r="CI47" s="15"/>
    </row>
    <row r="48" spans="1:88" s="130" customFormat="1" ht="12.75" customHeight="1" x14ac:dyDescent="0.2">
      <c r="A48" s="131">
        <f t="shared" si="0"/>
        <v>34</v>
      </c>
      <c r="B48" s="132"/>
      <c r="C48" s="115"/>
      <c r="D48" s="70"/>
      <c r="E48" s="122"/>
      <c r="F48" s="123"/>
      <c r="G48" s="124"/>
      <c r="H48" s="71"/>
      <c r="I48" s="71"/>
      <c r="J48" s="71"/>
      <c r="K48" s="125"/>
      <c r="L48" s="126"/>
      <c r="M48" s="127"/>
      <c r="N48" s="124"/>
      <c r="O48" s="71"/>
      <c r="P48" s="71"/>
      <c r="Q48" s="71"/>
      <c r="R48" s="125"/>
      <c r="S48" s="128"/>
      <c r="T48" s="127"/>
      <c r="U48" s="124"/>
      <c r="V48" s="71"/>
      <c r="W48" s="71"/>
      <c r="X48" s="71"/>
      <c r="Y48" s="125"/>
      <c r="Z48" s="126"/>
      <c r="AA48" s="127"/>
      <c r="AB48" s="124"/>
      <c r="AC48" s="71"/>
      <c r="AD48" s="71"/>
      <c r="AE48" s="71"/>
      <c r="AF48" s="125"/>
      <c r="AG48" s="126"/>
      <c r="AH48" s="127"/>
      <c r="AI48" s="129"/>
      <c r="AJ48" s="71"/>
      <c r="AK48" s="71"/>
      <c r="AL48" s="71"/>
      <c r="AM48" s="125"/>
      <c r="AN48" s="128"/>
      <c r="AO48" s="127"/>
      <c r="AP48" s="71"/>
      <c r="AQ48" s="71"/>
      <c r="AR48" s="71"/>
      <c r="AS48" s="125"/>
      <c r="AT48" s="128"/>
      <c r="AU48" s="127"/>
      <c r="AV48" s="71"/>
      <c r="AW48" s="71"/>
      <c r="AX48" s="71"/>
      <c r="AY48" s="125"/>
      <c r="AZ48" s="128"/>
      <c r="BA48" s="124"/>
      <c r="BB48" s="124"/>
      <c r="BC48" s="71"/>
      <c r="BD48" s="71"/>
      <c r="BE48" s="71"/>
      <c r="BF48" s="125"/>
      <c r="BG48" s="128"/>
      <c r="BH48" s="127"/>
      <c r="BI48" s="124"/>
      <c r="BJ48" s="71"/>
      <c r="BK48" s="71"/>
      <c r="BL48" s="71"/>
      <c r="BM48" s="125"/>
      <c r="BN48" s="128"/>
      <c r="BO48" s="127"/>
      <c r="BP48" s="71"/>
      <c r="BQ48" s="71"/>
      <c r="BR48" s="71"/>
      <c r="BS48" s="125"/>
      <c r="BT48" s="128"/>
      <c r="BU48" s="127"/>
      <c r="BV48" s="124"/>
      <c r="BW48" s="71"/>
      <c r="BX48" s="71"/>
      <c r="BY48" s="71"/>
      <c r="BZ48" s="125"/>
      <c r="CA48" s="128"/>
      <c r="CB48" s="127"/>
      <c r="CC48" s="124"/>
      <c r="CD48" s="71"/>
      <c r="CE48" s="71"/>
      <c r="CF48" s="71"/>
      <c r="CG48" s="125"/>
      <c r="CH48" s="119"/>
      <c r="CI48" s="120"/>
      <c r="CJ48" s="121"/>
    </row>
    <row r="49" spans="1:96" ht="12.75" customHeight="1" x14ac:dyDescent="0.2">
      <c r="A49" s="112">
        <f t="shared" si="0"/>
        <v>35</v>
      </c>
      <c r="B49" s="107"/>
      <c r="C49" s="101"/>
      <c r="D49" s="62"/>
      <c r="E49" s="39"/>
      <c r="F49" s="40"/>
      <c r="G49" s="41"/>
      <c r="H49" s="57">
        <v>16</v>
      </c>
      <c r="I49" s="57">
        <v>14</v>
      </c>
      <c r="J49" s="57">
        <v>15</v>
      </c>
      <c r="K49" s="75">
        <f t="shared" si="1"/>
        <v>15</v>
      </c>
      <c r="L49" s="45"/>
      <c r="M49" s="46"/>
      <c r="N49" s="41"/>
      <c r="O49" s="57">
        <v>14</v>
      </c>
      <c r="P49" s="57">
        <v>14</v>
      </c>
      <c r="Q49" s="57">
        <v>6</v>
      </c>
      <c r="R49" s="25">
        <f t="shared" si="2"/>
        <v>11.333333333333334</v>
      </c>
      <c r="S49" s="54"/>
      <c r="T49" s="46"/>
      <c r="U49" s="41"/>
      <c r="V49" s="57">
        <v>7</v>
      </c>
      <c r="W49" s="57">
        <v>16</v>
      </c>
      <c r="X49" s="57">
        <v>17</v>
      </c>
      <c r="Y49" s="25">
        <f t="shared" si="3"/>
        <v>13.333333333333334</v>
      </c>
      <c r="Z49" s="45"/>
      <c r="AA49" s="46"/>
      <c r="AB49" s="41"/>
      <c r="AC49" s="57">
        <v>10</v>
      </c>
      <c r="AD49" s="57">
        <v>10</v>
      </c>
      <c r="AE49" s="57">
        <v>10</v>
      </c>
      <c r="AF49" s="25">
        <f t="shared" si="4"/>
        <v>10</v>
      </c>
      <c r="AG49" s="45"/>
      <c r="AH49" s="46"/>
      <c r="AI49" s="73"/>
      <c r="AJ49" s="57">
        <v>18</v>
      </c>
      <c r="AK49" s="57">
        <v>16</v>
      </c>
      <c r="AL49" s="57">
        <v>12</v>
      </c>
      <c r="AM49" s="25">
        <f t="shared" si="5"/>
        <v>15.333333333333334</v>
      </c>
      <c r="AN49" s="49"/>
      <c r="AO49" s="50"/>
      <c r="AP49" s="57">
        <v>7</v>
      </c>
      <c r="AQ49" s="57">
        <v>16</v>
      </c>
      <c r="AR49" s="57">
        <v>17</v>
      </c>
      <c r="AS49" s="25">
        <f t="shared" si="6"/>
        <v>13.333333333333334</v>
      </c>
      <c r="AT49" s="49"/>
      <c r="AU49" s="50"/>
      <c r="AV49" s="57">
        <v>14</v>
      </c>
      <c r="AW49" s="57">
        <v>6</v>
      </c>
      <c r="AX49" s="57">
        <v>17</v>
      </c>
      <c r="AY49" s="25">
        <f t="shared" si="7"/>
        <v>12.333333333333334</v>
      </c>
      <c r="AZ49" s="49"/>
      <c r="BA49" s="42"/>
      <c r="BB49" s="42"/>
      <c r="BC49" s="57">
        <v>11</v>
      </c>
      <c r="BD49" s="57">
        <v>15</v>
      </c>
      <c r="BE49" s="57">
        <v>13</v>
      </c>
      <c r="BF49" s="25">
        <f t="shared" si="8"/>
        <v>13</v>
      </c>
      <c r="BG49" s="49"/>
      <c r="BH49" s="50"/>
      <c r="BI49" s="42"/>
      <c r="BJ49" s="42">
        <v>15</v>
      </c>
      <c r="BK49" s="52">
        <v>14</v>
      </c>
      <c r="BL49" s="42">
        <v>15</v>
      </c>
      <c r="BM49" s="25">
        <f t="shared" si="9"/>
        <v>14.666666666666666</v>
      </c>
      <c r="BN49" s="49"/>
      <c r="BO49" s="50"/>
      <c r="BP49" s="41">
        <v>14</v>
      </c>
      <c r="BQ49" s="57">
        <v>13</v>
      </c>
      <c r="BR49" s="57">
        <v>13</v>
      </c>
      <c r="BS49" s="25">
        <f t="shared" si="10"/>
        <v>13.333333333333334</v>
      </c>
      <c r="BT49" s="49"/>
      <c r="BU49" s="50"/>
      <c r="BV49" s="41"/>
      <c r="BW49" s="57">
        <v>16</v>
      </c>
      <c r="BX49" s="57">
        <v>12</v>
      </c>
      <c r="BY49" s="57">
        <v>14</v>
      </c>
      <c r="BZ49" s="25">
        <f t="shared" si="11"/>
        <v>14</v>
      </c>
      <c r="CA49" s="49"/>
      <c r="CB49" s="50"/>
      <c r="CC49" s="41"/>
      <c r="CD49" s="57">
        <v>12</v>
      </c>
      <c r="CE49" s="57">
        <v>12</v>
      </c>
      <c r="CF49" s="57">
        <v>15</v>
      </c>
      <c r="CG49" s="76">
        <f t="shared" si="12"/>
        <v>13</v>
      </c>
      <c r="CH49" s="27"/>
      <c r="CI49" s="15"/>
    </row>
    <row r="50" spans="1:96" ht="13.5" customHeight="1" thickBot="1" x14ac:dyDescent="0.25">
      <c r="A50" s="114">
        <f t="shared" si="0"/>
        <v>36</v>
      </c>
      <c r="B50" s="108"/>
      <c r="C50" s="103"/>
      <c r="D50" s="93"/>
      <c r="E50" s="89"/>
      <c r="F50" s="90"/>
      <c r="G50" s="66"/>
      <c r="H50" s="59">
        <v>13</v>
      </c>
      <c r="I50" s="59">
        <v>15</v>
      </c>
      <c r="J50" s="59">
        <v>15</v>
      </c>
      <c r="K50" s="63">
        <f t="shared" si="1"/>
        <v>14.333333333333334</v>
      </c>
      <c r="L50" s="64"/>
      <c r="M50" s="65"/>
      <c r="N50" s="66"/>
      <c r="O50" s="59">
        <v>13</v>
      </c>
      <c r="P50" s="59">
        <v>11</v>
      </c>
      <c r="Q50" s="59">
        <v>12</v>
      </c>
      <c r="R50" s="63">
        <f t="shared" si="2"/>
        <v>12</v>
      </c>
      <c r="S50" s="92"/>
      <c r="T50" s="65"/>
      <c r="U50" s="66"/>
      <c r="V50" s="59">
        <v>7</v>
      </c>
      <c r="W50" s="59">
        <v>18</v>
      </c>
      <c r="X50" s="59">
        <v>15</v>
      </c>
      <c r="Y50" s="63">
        <f t="shared" si="3"/>
        <v>13.333333333333334</v>
      </c>
      <c r="Z50" s="64"/>
      <c r="AA50" s="65"/>
      <c r="AB50" s="66"/>
      <c r="AC50" s="59">
        <v>10</v>
      </c>
      <c r="AD50" s="59">
        <v>10</v>
      </c>
      <c r="AE50" s="59">
        <v>10</v>
      </c>
      <c r="AF50" s="63">
        <f t="shared" si="4"/>
        <v>10</v>
      </c>
      <c r="AG50" s="64"/>
      <c r="AH50" s="65"/>
      <c r="AI50" s="94"/>
      <c r="AJ50" s="59">
        <v>15</v>
      </c>
      <c r="AK50" s="59">
        <v>13</v>
      </c>
      <c r="AL50" s="59">
        <v>11</v>
      </c>
      <c r="AM50" s="63">
        <f t="shared" si="5"/>
        <v>13</v>
      </c>
      <c r="AN50" s="95"/>
      <c r="AO50" s="96"/>
      <c r="AP50" s="59">
        <v>7</v>
      </c>
      <c r="AQ50" s="59">
        <v>18</v>
      </c>
      <c r="AR50" s="59">
        <v>15</v>
      </c>
      <c r="AS50" s="63">
        <f t="shared" si="6"/>
        <v>13.333333333333334</v>
      </c>
      <c r="AT50" s="95"/>
      <c r="AU50" s="96"/>
      <c r="AV50" s="59">
        <v>12</v>
      </c>
      <c r="AW50" s="59">
        <v>10</v>
      </c>
      <c r="AX50" s="59">
        <v>7</v>
      </c>
      <c r="AY50" s="63">
        <f t="shared" si="7"/>
        <v>9.6666666666666661</v>
      </c>
      <c r="AZ50" s="95"/>
      <c r="BA50" s="91"/>
      <c r="BB50" s="91"/>
      <c r="BC50" s="59">
        <v>10</v>
      </c>
      <c r="BD50" s="59">
        <v>12</v>
      </c>
      <c r="BE50" s="59">
        <v>8</v>
      </c>
      <c r="BF50" s="63">
        <f t="shared" si="8"/>
        <v>10</v>
      </c>
      <c r="BG50" s="95"/>
      <c r="BH50" s="96"/>
      <c r="BI50" s="91"/>
      <c r="BJ50" s="91">
        <v>14</v>
      </c>
      <c r="BK50" s="97">
        <v>8</v>
      </c>
      <c r="BL50" s="91">
        <v>13</v>
      </c>
      <c r="BM50" s="63">
        <f t="shared" si="9"/>
        <v>11.666666666666666</v>
      </c>
      <c r="BN50" s="95"/>
      <c r="BO50" s="96"/>
      <c r="BP50" s="66">
        <v>12</v>
      </c>
      <c r="BQ50" s="59">
        <v>11</v>
      </c>
      <c r="BR50" s="59">
        <v>12</v>
      </c>
      <c r="BS50" s="63">
        <f t="shared" si="10"/>
        <v>11.666666666666666</v>
      </c>
      <c r="BT50" s="95"/>
      <c r="BU50" s="96"/>
      <c r="BV50" s="66"/>
      <c r="BW50" s="59">
        <v>13</v>
      </c>
      <c r="BX50" s="59">
        <v>8</v>
      </c>
      <c r="BY50" s="59">
        <v>9</v>
      </c>
      <c r="BZ50" s="63">
        <f t="shared" si="11"/>
        <v>10</v>
      </c>
      <c r="CA50" s="95"/>
      <c r="CB50" s="96"/>
      <c r="CC50" s="66"/>
      <c r="CD50" s="59">
        <v>13</v>
      </c>
      <c r="CE50" s="59">
        <v>13</v>
      </c>
      <c r="CF50" s="59">
        <v>16</v>
      </c>
      <c r="CG50" s="118">
        <f t="shared" si="12"/>
        <v>14</v>
      </c>
      <c r="CH50" s="98"/>
      <c r="CI50" s="15"/>
    </row>
    <row r="51" spans="1:96" ht="12.75" x14ac:dyDescent="0.2">
      <c r="A51" s="167" t="s">
        <v>16</v>
      </c>
      <c r="B51" s="168"/>
      <c r="C51" s="168"/>
      <c r="D51" s="85"/>
      <c r="E51" s="161" t="s">
        <v>38</v>
      </c>
      <c r="F51" s="162"/>
      <c r="G51" s="162"/>
      <c r="H51" s="162"/>
      <c r="I51" s="162"/>
      <c r="J51" s="162"/>
      <c r="K51" s="163"/>
      <c r="L51" s="161" t="s">
        <v>42</v>
      </c>
      <c r="M51" s="162"/>
      <c r="N51" s="162"/>
      <c r="O51" s="162"/>
      <c r="P51" s="162"/>
      <c r="Q51" s="162"/>
      <c r="R51" s="163"/>
      <c r="S51" s="161" t="s">
        <v>54</v>
      </c>
      <c r="T51" s="162"/>
      <c r="U51" s="162"/>
      <c r="V51" s="162"/>
      <c r="W51" s="162"/>
      <c r="X51" s="162"/>
      <c r="Y51" s="163"/>
      <c r="Z51" s="161" t="s">
        <v>43</v>
      </c>
      <c r="AA51" s="162"/>
      <c r="AB51" s="162"/>
      <c r="AC51" s="162"/>
      <c r="AD51" s="162"/>
      <c r="AE51" s="162"/>
      <c r="AF51" s="163"/>
      <c r="AG51" s="161" t="s">
        <v>44</v>
      </c>
      <c r="AH51" s="162"/>
      <c r="AI51" s="162"/>
      <c r="AJ51" s="162"/>
      <c r="AK51" s="162"/>
      <c r="AL51" s="162"/>
      <c r="AM51" s="163"/>
      <c r="AN51" s="161" t="s">
        <v>45</v>
      </c>
      <c r="AO51" s="162"/>
      <c r="AP51" s="162"/>
      <c r="AQ51" s="162"/>
      <c r="AR51" s="162"/>
      <c r="AS51" s="163"/>
      <c r="AT51" s="161" t="s">
        <v>46</v>
      </c>
      <c r="AU51" s="162"/>
      <c r="AV51" s="162"/>
      <c r="AW51" s="162"/>
      <c r="AX51" s="162"/>
      <c r="AY51" s="163"/>
      <c r="AZ51" s="161" t="s">
        <v>47</v>
      </c>
      <c r="BA51" s="162"/>
      <c r="BB51" s="162"/>
      <c r="BC51" s="162"/>
      <c r="BD51" s="162"/>
      <c r="BE51" s="162"/>
      <c r="BF51" s="163"/>
      <c r="BG51" s="161" t="s">
        <v>48</v>
      </c>
      <c r="BH51" s="162"/>
      <c r="BI51" s="162"/>
      <c r="BJ51" s="162"/>
      <c r="BK51" s="162"/>
      <c r="BL51" s="162"/>
      <c r="BM51" s="163"/>
      <c r="BN51" s="161" t="s">
        <v>63</v>
      </c>
      <c r="BO51" s="162"/>
      <c r="BP51" s="162"/>
      <c r="BQ51" s="162"/>
      <c r="BR51" s="162"/>
      <c r="BS51" s="163"/>
      <c r="BT51" s="161" t="s">
        <v>49</v>
      </c>
      <c r="BU51" s="162"/>
      <c r="BV51" s="162"/>
      <c r="BW51" s="162"/>
      <c r="BX51" s="162"/>
      <c r="BY51" s="162"/>
      <c r="BZ51" s="163"/>
      <c r="CA51" s="161" t="s">
        <v>50</v>
      </c>
      <c r="CB51" s="162"/>
      <c r="CC51" s="162"/>
      <c r="CD51" s="162"/>
      <c r="CE51" s="162"/>
      <c r="CF51" s="162"/>
      <c r="CG51" s="163"/>
      <c r="CH51" s="3"/>
      <c r="CI51" s="5"/>
    </row>
    <row r="52" spans="1:96" ht="13.5" thickBot="1" x14ac:dyDescent="0.25">
      <c r="A52" s="164" t="s">
        <v>12</v>
      </c>
      <c r="B52" s="165"/>
      <c r="C52" s="165"/>
      <c r="D52" s="18"/>
      <c r="E52" s="6"/>
      <c r="F52" s="7"/>
      <c r="G52" s="7"/>
      <c r="H52" s="7"/>
      <c r="I52" s="7"/>
      <c r="J52" s="7"/>
      <c r="K52" s="7"/>
      <c r="L52" s="6"/>
      <c r="M52" s="7"/>
      <c r="N52" s="7"/>
      <c r="O52" s="7"/>
      <c r="P52" s="7"/>
      <c r="Q52" s="7"/>
      <c r="R52" s="8"/>
      <c r="S52" s="6"/>
      <c r="T52" s="7"/>
      <c r="U52" s="7"/>
      <c r="V52" s="7"/>
      <c r="W52" s="7"/>
      <c r="X52" s="7"/>
      <c r="Y52" s="8"/>
      <c r="Z52" s="6"/>
      <c r="AA52" s="7"/>
      <c r="AB52" s="7"/>
      <c r="AC52" s="7"/>
      <c r="AD52" s="7"/>
      <c r="AE52" s="7"/>
      <c r="AF52" s="8"/>
      <c r="AG52" s="6"/>
      <c r="AH52" s="7"/>
      <c r="AI52" s="7"/>
      <c r="AJ52" s="7"/>
      <c r="AK52" s="7"/>
      <c r="AL52" s="7"/>
      <c r="AM52" s="8"/>
      <c r="AN52" s="7"/>
      <c r="AO52" s="7"/>
      <c r="AP52" s="7"/>
      <c r="AQ52" s="7"/>
      <c r="AR52" s="7"/>
      <c r="AS52" s="8"/>
      <c r="AT52" s="7"/>
      <c r="AU52" s="7"/>
      <c r="AV52" s="7"/>
      <c r="AW52" s="7"/>
      <c r="AX52" s="7"/>
      <c r="AY52" s="8"/>
      <c r="AZ52" s="7"/>
      <c r="BA52" s="7"/>
      <c r="BB52" s="7"/>
      <c r="BC52" s="7"/>
      <c r="BD52" s="7"/>
      <c r="BE52" s="7"/>
      <c r="BF52" s="8"/>
      <c r="BG52" s="7"/>
      <c r="BH52" s="7"/>
      <c r="BI52" s="7"/>
      <c r="BJ52" s="7"/>
      <c r="BK52" s="7"/>
      <c r="BL52" s="7"/>
      <c r="BM52" s="8"/>
      <c r="BN52" s="7"/>
      <c r="BO52" s="7"/>
      <c r="BP52" s="7"/>
      <c r="BQ52" s="7"/>
      <c r="BR52" s="7"/>
      <c r="BS52" s="8"/>
      <c r="BT52" s="7"/>
      <c r="BU52" s="7"/>
      <c r="BV52" s="7"/>
      <c r="BW52" s="7"/>
      <c r="BX52" s="7"/>
      <c r="BY52" s="7"/>
      <c r="BZ52" s="8"/>
      <c r="CA52" s="7"/>
      <c r="CB52" s="7"/>
      <c r="CC52" s="7"/>
      <c r="CD52" s="7"/>
      <c r="CE52" s="7"/>
      <c r="CF52" s="7"/>
      <c r="CG52" s="8"/>
      <c r="CH52" s="87"/>
      <c r="CI52" s="8"/>
    </row>
    <row r="53" spans="1:96" ht="13.5" thickBot="1" x14ac:dyDescent="0.25"/>
    <row r="54" spans="1:96" ht="12.75" x14ac:dyDescent="0.2">
      <c r="A54" s="2" t="s">
        <v>15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5"/>
    </row>
    <row r="55" spans="1:96" ht="12.75" x14ac:dyDescent="0.2">
      <c r="A55" s="13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20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19"/>
    </row>
    <row r="56" spans="1:96" ht="13.5" thickBot="1" x14ac:dyDescent="0.25">
      <c r="A56" s="6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8"/>
    </row>
    <row r="57" spans="1:96" ht="12.75" x14ac:dyDescent="0.2"/>
    <row r="58" spans="1:96" ht="12.75" x14ac:dyDescent="0.2">
      <c r="E58" s="34"/>
      <c r="F58" s="34"/>
      <c r="G58" s="34"/>
      <c r="H58" s="34"/>
      <c r="I58" s="166" t="s">
        <v>27</v>
      </c>
      <c r="J58" s="166"/>
      <c r="K58" s="166"/>
      <c r="L58" s="166"/>
      <c r="M58" s="166"/>
      <c r="N58" s="166"/>
      <c r="O58" s="166"/>
      <c r="P58" s="166"/>
      <c r="Q58" s="166"/>
      <c r="R58" s="166"/>
      <c r="S58" s="166"/>
      <c r="T58" s="166"/>
      <c r="U58" s="166"/>
      <c r="V58" s="166"/>
      <c r="W58" s="166"/>
      <c r="X58" s="34"/>
      <c r="Y58" s="34"/>
      <c r="Z58" s="34"/>
      <c r="AE58" s="32"/>
      <c r="AF58" s="33"/>
      <c r="AG58" s="33"/>
      <c r="AH58" s="33"/>
      <c r="AI58" s="33"/>
      <c r="AJ58" s="33"/>
      <c r="AK58" s="32"/>
      <c r="AL58" s="32"/>
      <c r="AM58" s="32"/>
      <c r="AN58" s="32"/>
      <c r="AO58" s="32"/>
      <c r="AP58" s="32"/>
      <c r="AQ58" s="166" t="s">
        <v>51</v>
      </c>
      <c r="AR58" s="166"/>
      <c r="AS58" s="166"/>
      <c r="AT58" s="166"/>
      <c r="AU58" s="166"/>
      <c r="AV58" s="166"/>
      <c r="AW58" s="166"/>
      <c r="AX58" s="166"/>
      <c r="AY58" s="166"/>
      <c r="AZ58" s="166"/>
      <c r="BA58" s="166"/>
      <c r="BB58" s="166"/>
      <c r="BC58" s="166"/>
      <c r="BD58" s="166"/>
      <c r="BE58" s="166"/>
      <c r="BF58" s="166"/>
      <c r="BG58" s="166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157" t="s">
        <v>59</v>
      </c>
      <c r="BX58" s="157"/>
      <c r="BY58" s="157"/>
      <c r="BZ58" s="157"/>
      <c r="CA58" s="157"/>
      <c r="CB58" s="157"/>
      <c r="CC58" s="157"/>
      <c r="CD58" s="157"/>
      <c r="CE58" s="157"/>
      <c r="CF58" s="157"/>
      <c r="CG58" s="157"/>
      <c r="CH58" s="157"/>
      <c r="CI58" s="157"/>
      <c r="CJ58" s="157"/>
      <c r="CK58" s="157"/>
      <c r="CL58" s="157"/>
      <c r="CM58" s="157"/>
      <c r="CN58" s="157"/>
      <c r="CO58" s="157"/>
      <c r="CP58" s="157"/>
      <c r="CQ58" s="157"/>
      <c r="CR58" s="157"/>
    </row>
    <row r="59" spans="1:96" ht="12.75" x14ac:dyDescent="0.2">
      <c r="A59" s="12"/>
      <c r="D59" s="33" t="s">
        <v>10</v>
      </c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G59" s="158" t="s">
        <v>65</v>
      </c>
      <c r="AH59" s="158"/>
      <c r="AI59" s="158"/>
      <c r="AJ59" s="158"/>
      <c r="AK59" s="158"/>
      <c r="AL59" s="158"/>
      <c r="AM59" s="158"/>
      <c r="AN59" s="158"/>
      <c r="AO59" s="158"/>
      <c r="AP59" s="158"/>
      <c r="AQ59" s="158"/>
      <c r="AR59" s="158"/>
      <c r="AS59" s="158"/>
      <c r="AT59" s="158"/>
      <c r="AU59" s="158"/>
      <c r="AV59" s="158"/>
      <c r="AW59" s="158"/>
      <c r="AX59" s="158"/>
      <c r="AY59" s="158"/>
      <c r="AZ59" s="158"/>
      <c r="BA59" s="158"/>
      <c r="BB59" s="158"/>
      <c r="BC59" s="158"/>
      <c r="BD59" s="158"/>
      <c r="BE59" s="158"/>
      <c r="BF59" s="158"/>
      <c r="BG59" s="158"/>
      <c r="BH59" s="158"/>
      <c r="BI59" s="158"/>
      <c r="BJ59" s="158"/>
      <c r="BK59" s="158"/>
      <c r="BL59" s="158"/>
      <c r="BM59" s="158"/>
      <c r="BN59" s="158"/>
      <c r="BO59" s="158"/>
      <c r="BP59" s="158"/>
      <c r="BQ59" s="158"/>
      <c r="BR59" s="158"/>
      <c r="BS59" s="158"/>
      <c r="BT59" s="158"/>
      <c r="BU59" s="158"/>
      <c r="BV59" s="158"/>
      <c r="BW59" s="158"/>
      <c r="BX59" s="158"/>
      <c r="BY59" s="116" t="s">
        <v>64</v>
      </c>
      <c r="BZ59" s="116"/>
      <c r="CA59" s="116"/>
      <c r="CB59" s="116"/>
      <c r="CC59" s="116"/>
      <c r="CD59" s="116"/>
      <c r="CE59" s="116"/>
      <c r="CF59" s="116"/>
      <c r="CG59" s="116"/>
      <c r="CH59" s="116"/>
      <c r="CI59" s="116"/>
      <c r="CJ59" s="116"/>
    </row>
    <row r="60" spans="1:96" ht="12.75" x14ac:dyDescent="0.2">
      <c r="A60" s="12"/>
      <c r="H60" s="159" t="s">
        <v>52</v>
      </c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AQ60" s="160" t="s">
        <v>53</v>
      </c>
      <c r="AR60" s="160"/>
      <c r="AS60" s="160"/>
      <c r="AT60" s="160"/>
      <c r="AU60" s="160"/>
      <c r="AV60" s="160"/>
      <c r="AW60" s="160"/>
      <c r="AX60" s="160"/>
      <c r="AY60" s="160"/>
      <c r="AZ60" s="160"/>
      <c r="BA60" s="160"/>
      <c r="BB60" s="160"/>
      <c r="BC60" s="160"/>
      <c r="BD60" s="160"/>
      <c r="BE60" s="160"/>
      <c r="BF60" s="160"/>
      <c r="BY60" s="158" t="s">
        <v>55</v>
      </c>
      <c r="BZ60" s="158"/>
      <c r="CA60" s="158"/>
      <c r="CB60" s="158"/>
      <c r="CC60" s="158"/>
      <c r="CD60" s="158"/>
      <c r="CE60" s="158"/>
      <c r="CF60" s="158"/>
      <c r="CG60" s="158"/>
      <c r="CH60" s="158"/>
      <c r="CI60" s="158"/>
      <c r="CJ60" s="69"/>
    </row>
    <row r="61" spans="1:96" ht="12.75" x14ac:dyDescent="0.2">
      <c r="A61" s="12" t="s">
        <v>17</v>
      </c>
    </row>
    <row r="62" spans="1:96" ht="12.75" x14ac:dyDescent="0.2">
      <c r="A62" s="12" t="s">
        <v>13</v>
      </c>
    </row>
    <row r="63" spans="1:96" ht="12.75" x14ac:dyDescent="0.2">
      <c r="A63" s="12" t="s">
        <v>14</v>
      </c>
    </row>
  </sheetData>
  <sheetProtection selectLockedCells="1"/>
  <mergeCells count="107">
    <mergeCell ref="BW58:CR58"/>
    <mergeCell ref="BY60:CI60"/>
    <mergeCell ref="X6:BE6"/>
    <mergeCell ref="X5:BE5"/>
    <mergeCell ref="H60:V60"/>
    <mergeCell ref="AQ60:BF60"/>
    <mergeCell ref="CA51:CG51"/>
    <mergeCell ref="A52:C52"/>
    <mergeCell ref="I58:W58"/>
    <mergeCell ref="AQ58:BG58"/>
    <mergeCell ref="AG59:BX59"/>
    <mergeCell ref="AN51:AS51"/>
    <mergeCell ref="AT51:AY51"/>
    <mergeCell ref="AZ51:BF51"/>
    <mergeCell ref="BG51:BM51"/>
    <mergeCell ref="BN51:BS51"/>
    <mergeCell ref="BT51:BZ51"/>
    <mergeCell ref="A51:C51"/>
    <mergeCell ref="E51:K51"/>
    <mergeCell ref="L51:R51"/>
    <mergeCell ref="S51:Y51"/>
    <mergeCell ref="Z51:AF51"/>
    <mergeCell ref="AG51:AM51"/>
    <mergeCell ref="CA13:CB13"/>
    <mergeCell ref="CC13:CC14"/>
    <mergeCell ref="CD13:CD14"/>
    <mergeCell ref="CE13:CE14"/>
    <mergeCell ref="CF13:CF14"/>
    <mergeCell ref="CG13:CG14"/>
    <mergeCell ref="BT13:BU13"/>
    <mergeCell ref="BV13:BV14"/>
    <mergeCell ref="BW13:BW14"/>
    <mergeCell ref="BX13:BX14"/>
    <mergeCell ref="BY13:BY14"/>
    <mergeCell ref="BZ13:BZ14"/>
    <mergeCell ref="BM13:BM14"/>
    <mergeCell ref="BN13:BO13"/>
    <mergeCell ref="BP13:BP14"/>
    <mergeCell ref="BQ13:BQ14"/>
    <mergeCell ref="BR13:BR14"/>
    <mergeCell ref="BS13:BS14"/>
    <mergeCell ref="BF13:BF14"/>
    <mergeCell ref="BG13:BH13"/>
    <mergeCell ref="BI13:BI14"/>
    <mergeCell ref="BJ13:BJ14"/>
    <mergeCell ref="BK13:BK14"/>
    <mergeCell ref="BL13:BL14"/>
    <mergeCell ref="AY13:AY14"/>
    <mergeCell ref="AZ13:BA13"/>
    <mergeCell ref="BB13:BB14"/>
    <mergeCell ref="BC13:BC14"/>
    <mergeCell ref="BD13:BD14"/>
    <mergeCell ref="BE13:BE14"/>
    <mergeCell ref="AR13:AR14"/>
    <mergeCell ref="AS13:AS14"/>
    <mergeCell ref="AT13:AU13"/>
    <mergeCell ref="AV13:AV14"/>
    <mergeCell ref="AW13:AW14"/>
    <mergeCell ref="AX13:AX14"/>
    <mergeCell ref="AK13:AK14"/>
    <mergeCell ref="AL13:AL14"/>
    <mergeCell ref="AM13:AM14"/>
    <mergeCell ref="AN13:AO13"/>
    <mergeCell ref="AP13:AP14"/>
    <mergeCell ref="AQ13:AQ14"/>
    <mergeCell ref="AD13:AD14"/>
    <mergeCell ref="AE13:AE14"/>
    <mergeCell ref="AF13:AF14"/>
    <mergeCell ref="AG13:AH13"/>
    <mergeCell ref="AI13:AI14"/>
    <mergeCell ref="AJ13:AJ14"/>
    <mergeCell ref="W13:W14"/>
    <mergeCell ref="X13:X14"/>
    <mergeCell ref="Y13:Y14"/>
    <mergeCell ref="Z13:AA13"/>
    <mergeCell ref="AB13:AB14"/>
    <mergeCell ref="AC13:AC14"/>
    <mergeCell ref="P13:P14"/>
    <mergeCell ref="Q13:Q14"/>
    <mergeCell ref="R13:R14"/>
    <mergeCell ref="S13:T13"/>
    <mergeCell ref="U13:U14"/>
    <mergeCell ref="V13:V14"/>
    <mergeCell ref="BT12:BZ12"/>
    <mergeCell ref="CA12:CG12"/>
    <mergeCell ref="C13:C14"/>
    <mergeCell ref="D13:D14"/>
    <mergeCell ref="E13:F13"/>
    <mergeCell ref="G13:G14"/>
    <mergeCell ref="H13:H14"/>
    <mergeCell ref="P8:BR8"/>
    <mergeCell ref="E12:K12"/>
    <mergeCell ref="L12:R12"/>
    <mergeCell ref="S12:Y12"/>
    <mergeCell ref="Z12:AF12"/>
    <mergeCell ref="AG12:AM12"/>
    <mergeCell ref="AN12:AS12"/>
    <mergeCell ref="AT12:AY12"/>
    <mergeCell ref="I13:I14"/>
    <mergeCell ref="J13:J14"/>
    <mergeCell ref="K13:K14"/>
    <mergeCell ref="L13:M13"/>
    <mergeCell ref="N13:N14"/>
    <mergeCell ref="O13:O14"/>
    <mergeCell ref="AZ12:BF12"/>
    <mergeCell ref="BG12:BM12"/>
    <mergeCell ref="BN12:BS12"/>
  </mergeCells>
  <conditionalFormatting sqref="U15:Y15 BI15:BM15 BV15:BZ15 CC15:CG45 AI15:AS15 AU15:AY15 G47:J47 G46:I46 CC47:CG47 CC46:CE46 BI47:BL47 BI46 BL46 AU47:AX47 AU46:AW46 AI47:AL47 AI46 AK46 BV47:BY47 BV46:BW46 BY46 AI19:AL22 AI18 AK18:AL18 U18 AI26:AL29 AI25 AK25:AL25 AI24:AL24 AI23 AK23:AL23 BV19:BY26 BV18:BW18 BY18 AI31:AL45 AI30 AK30:AL30 AI48 U19:X47 G15:K29 N15:R47 U16:X17 Y16:Y47 AI16:AL17 AM16:AS47 AU16:AX45 AY16:AY47 BA15:BF34 BI16:BL45 BM16:BM47 BP15:BS47 BV16:BY17 BZ16:BZ47 CG16:CG47 G49:K50 G48 K31:K47 G31:J34 G30 U49:Y50 U48 AB49:AF50 AB48 AU49:AY50 AU48 BA49:BF50 BA48:BB48 BI49:BM50 BI48 CC48 CC49:CG50 G36:J45 G35:H35 J35 BA36:BF47 BA35:BB35 BE35:BF35 BV48 BV28:BY45 BV27:BW27 BY27 AI49:AS50 AN48:AO48 N49:R50 N48 AB15:AF47 BP49:BS50 BV49:BZ50">
    <cfRule type="cellIs" dxfId="426" priority="538" stopIfTrue="1" operator="greaterThanOrEqual">
      <formula>9.5</formula>
    </cfRule>
    <cfRule type="cellIs" dxfId="425" priority="539" stopIfTrue="1" operator="lessThan">
      <formula>9.5</formula>
    </cfRule>
  </conditionalFormatting>
  <conditionalFormatting sqref="U15:Y15 BI15:BM15 BV15:BZ15 CC15:CG45 AI15:AS15 AU15:AY15 G47:J47 G46:I46 CC47:CG47 CC46:CE46 BI47:BL47 BI46 BL46 AU47:AX47 AU46:AW46 AI47:AL47 AI46 AK46 BV47:BY47 BV46:BW46 BY46 AI19:AL22 AI18 AK18:AL18 U18 AI26:AL29 AI25 AK25:AL25 AI24:AL24 AI23 AK23:AL23 BV19:BY26 BV18:BW18 BY18 AI31:AL45 AI30 AK30:AL30 AI48 U19:X47 G15:K29 N15:R47 U16:X17 Y16:Y47 AI16:AL17 AM16:AS47 AU16:AX45 AY16:AY47 BA15:BF34 BI16:BL45 BM16:BM47 BP15:BS47 BV16:BY17 BZ16:BZ47 CG16:CG47 G49:K50 G48 K31:K47 G31:J34 G30 U49:Y50 U48 AB49:AF50 AB48 AU49:AY50 AU48 BA49:BF50 BA48:BB48 BI49:BM50 BI48 CC48 CC49:CG50 G36:J45 G35:H35 J35 BA36:BF47 BA35:BB35 BE35:BF35 BV48 BV28:BY45 BV27:BW27 BY27 AI49:AS50 AN48:AO48 N49:R50 N48 AB15:AF47 BP49:BS50 BV49:BZ50">
    <cfRule type="cellIs" dxfId="424" priority="536" stopIfTrue="1" operator="greaterThanOrEqual">
      <formula>9.5</formula>
    </cfRule>
    <cfRule type="cellIs" dxfId="423" priority="537" stopIfTrue="1" operator="lessThan">
      <formula>9.5</formula>
    </cfRule>
  </conditionalFormatting>
  <conditionalFormatting sqref="AC15:AE47 AC49:AE50">
    <cfRule type="cellIs" dxfId="422" priority="534" stopIfTrue="1" operator="greaterThanOrEqual">
      <formula>9.5</formula>
    </cfRule>
    <cfRule type="cellIs" dxfId="421" priority="535" stopIfTrue="1" operator="lessThan">
      <formula>9.5</formula>
    </cfRule>
  </conditionalFormatting>
  <conditionalFormatting sqref="AC15:AE47 AC49:AE50">
    <cfRule type="cellIs" dxfId="420" priority="532" stopIfTrue="1" operator="greaterThanOrEqual">
      <formula>9.5</formula>
    </cfRule>
    <cfRule type="cellIs" dxfId="419" priority="533" stopIfTrue="1" operator="lessThan">
      <formula>9.5</formula>
    </cfRule>
  </conditionalFormatting>
  <conditionalFormatting sqref="AC15:AE47">
    <cfRule type="cellIs" dxfId="418" priority="529" operator="lessThan">
      <formula>10</formula>
    </cfRule>
    <cfRule type="cellIs" dxfId="417" priority="530" operator="lessThan">
      <formula>10</formula>
    </cfRule>
    <cfRule type="cellIs" dxfId="416" priority="531" operator="greaterThan">
      <formula>9.5</formula>
    </cfRule>
  </conditionalFormatting>
  <conditionalFormatting sqref="AD15:AE47 AD49:AE50">
    <cfRule type="cellIs" dxfId="415" priority="527" stopIfTrue="1" operator="greaterThanOrEqual">
      <formula>9.5</formula>
    </cfRule>
    <cfRule type="cellIs" dxfId="414" priority="528" stopIfTrue="1" operator="lessThan">
      <formula>9.5</formula>
    </cfRule>
  </conditionalFormatting>
  <conditionalFormatting sqref="AD15:AE47 AD49:AE50">
    <cfRule type="cellIs" dxfId="413" priority="525" stopIfTrue="1" operator="greaterThanOrEqual">
      <formula>9.5</formula>
    </cfRule>
    <cfRule type="cellIs" dxfId="412" priority="526" stopIfTrue="1" operator="lessThan">
      <formula>9.5</formula>
    </cfRule>
  </conditionalFormatting>
  <conditionalFormatting sqref="AC15:AC47 AC49:AC50">
    <cfRule type="cellIs" dxfId="411" priority="523" stopIfTrue="1" operator="greaterThanOrEqual">
      <formula>9.5</formula>
    </cfRule>
    <cfRule type="cellIs" dxfId="410" priority="524" stopIfTrue="1" operator="lessThan">
      <formula>9.5</formula>
    </cfRule>
  </conditionalFormatting>
  <conditionalFormatting sqref="AC15:AC47 AC49:AC50">
    <cfRule type="cellIs" dxfId="409" priority="521" stopIfTrue="1" operator="greaterThanOrEqual">
      <formula>9.5</formula>
    </cfRule>
    <cfRule type="cellIs" dxfId="408" priority="522" stopIfTrue="1" operator="lessThan">
      <formula>9.5</formula>
    </cfRule>
  </conditionalFormatting>
  <conditionalFormatting sqref="AK15:AL45 AK47:AL47 AK46 AK49:AL50">
    <cfRule type="cellIs" dxfId="407" priority="519" stopIfTrue="1" operator="greaterThanOrEqual">
      <formula>9.5</formula>
    </cfRule>
    <cfRule type="cellIs" dxfId="406" priority="520" stopIfTrue="1" operator="lessThan">
      <formula>9.5</formula>
    </cfRule>
  </conditionalFormatting>
  <conditionalFormatting sqref="AK15:AL45 AK47:AL47 AK46 AK49:AL50">
    <cfRule type="cellIs" dxfId="405" priority="517" stopIfTrue="1" operator="greaterThanOrEqual">
      <formula>9.5</formula>
    </cfRule>
    <cfRule type="cellIs" dxfId="404" priority="518" stopIfTrue="1" operator="lessThan">
      <formula>9.5</formula>
    </cfRule>
  </conditionalFormatting>
  <conditionalFormatting sqref="AJ15:AJ17 AJ47 AJ19:AJ22 AJ26:AJ29 AJ24 AJ31:AJ45 AJ49:AJ50">
    <cfRule type="cellIs" dxfId="403" priority="515" stopIfTrue="1" operator="greaterThanOrEqual">
      <formula>9.5</formula>
    </cfRule>
    <cfRule type="cellIs" dxfId="402" priority="516" stopIfTrue="1" operator="lessThan">
      <formula>9.5</formula>
    </cfRule>
  </conditionalFormatting>
  <conditionalFormatting sqref="AJ15:AJ17 AJ47 AJ19:AJ22 AJ26:AJ29 AJ24 AJ31:AJ45 AJ49:AJ50">
    <cfRule type="cellIs" dxfId="401" priority="513" stopIfTrue="1" operator="greaterThanOrEqual">
      <formula>9.5</formula>
    </cfRule>
    <cfRule type="cellIs" dxfId="400" priority="514" stopIfTrue="1" operator="lessThan">
      <formula>9.5</formula>
    </cfRule>
  </conditionalFormatting>
  <conditionalFormatting sqref="BD15:BE34 BD49:BE50 BD36:BE47 BE35">
    <cfRule type="cellIs" dxfId="399" priority="511" stopIfTrue="1" operator="greaterThanOrEqual">
      <formula>9.5</formula>
    </cfRule>
    <cfRule type="cellIs" dxfId="398" priority="512" stopIfTrue="1" operator="lessThan">
      <formula>9.5</formula>
    </cfRule>
  </conditionalFormatting>
  <conditionalFormatting sqref="BD15:BE34 BD49:BE50 BD36:BE47 BE35">
    <cfRule type="cellIs" dxfId="397" priority="509" stopIfTrue="1" operator="greaterThanOrEqual">
      <formula>9.5</formula>
    </cfRule>
    <cfRule type="cellIs" dxfId="396" priority="510" stopIfTrue="1" operator="lessThan">
      <formula>9.5</formula>
    </cfRule>
  </conditionalFormatting>
  <conditionalFormatting sqref="BC15:BC34 BC49:BC50 BC36:BC47">
    <cfRule type="cellIs" dxfId="395" priority="507" stopIfTrue="1" operator="greaterThanOrEqual">
      <formula>9.5</formula>
    </cfRule>
    <cfRule type="cellIs" dxfId="394" priority="508" stopIfTrue="1" operator="lessThan">
      <formula>9.5</formula>
    </cfRule>
  </conditionalFormatting>
  <conditionalFormatting sqref="BC15:BC34 BC49:BC50 BC36:BC47">
    <cfRule type="cellIs" dxfId="393" priority="505" stopIfTrue="1" operator="greaterThanOrEqual">
      <formula>9.5</formula>
    </cfRule>
    <cfRule type="cellIs" dxfId="392" priority="506" stopIfTrue="1" operator="lessThan">
      <formula>9.5</formula>
    </cfRule>
  </conditionalFormatting>
  <conditionalFormatting sqref="AD15:AE47 AD49:AE50">
    <cfRule type="cellIs" dxfId="391" priority="503" stopIfTrue="1" operator="greaterThanOrEqual">
      <formula>9.5</formula>
    </cfRule>
    <cfRule type="cellIs" dxfId="390" priority="504" stopIfTrue="1" operator="lessThan">
      <formula>9.5</formula>
    </cfRule>
  </conditionalFormatting>
  <conditionalFormatting sqref="AD15:AE47 AD49:AE50">
    <cfRule type="cellIs" dxfId="389" priority="501" stopIfTrue="1" operator="greaterThanOrEqual">
      <formula>9.5</formula>
    </cfRule>
    <cfRule type="cellIs" dxfId="388" priority="502" stopIfTrue="1" operator="lessThan">
      <formula>9.5</formula>
    </cfRule>
  </conditionalFormatting>
  <conditionalFormatting sqref="AC15:AC47 AC49:AC50">
    <cfRule type="cellIs" dxfId="387" priority="499" stopIfTrue="1" operator="greaterThanOrEqual">
      <formula>9.5</formula>
    </cfRule>
    <cfRule type="cellIs" dxfId="386" priority="500" stopIfTrue="1" operator="lessThan">
      <formula>9.5</formula>
    </cfRule>
  </conditionalFormatting>
  <conditionalFormatting sqref="AC15:AC47 AC49:AC50">
    <cfRule type="cellIs" dxfId="385" priority="497" stopIfTrue="1" operator="greaterThanOrEqual">
      <formula>9.5</formula>
    </cfRule>
    <cfRule type="cellIs" dxfId="384" priority="498" stopIfTrue="1" operator="lessThan">
      <formula>9.5</formula>
    </cfRule>
  </conditionalFormatting>
  <conditionalFormatting sqref="AW15:AX45 AW47:AX47 AW46 AW49:AX50">
    <cfRule type="cellIs" dxfId="383" priority="495" stopIfTrue="1" operator="greaterThanOrEqual">
      <formula>9.5</formula>
    </cfRule>
    <cfRule type="cellIs" dxfId="382" priority="496" stopIfTrue="1" operator="lessThan">
      <formula>9.5</formula>
    </cfRule>
  </conditionalFormatting>
  <conditionalFormatting sqref="AW15:AX45 AW47:AX47 AW46 AW49:AX50">
    <cfRule type="cellIs" dxfId="381" priority="493" stopIfTrue="1" operator="greaterThanOrEqual">
      <formula>9.5</formula>
    </cfRule>
    <cfRule type="cellIs" dxfId="380" priority="494" stopIfTrue="1" operator="lessThan">
      <formula>9.5</formula>
    </cfRule>
  </conditionalFormatting>
  <conditionalFormatting sqref="AV15:AV47 AV49:AV50">
    <cfRule type="cellIs" dxfId="379" priority="491" stopIfTrue="1" operator="greaterThanOrEqual">
      <formula>9.5</formula>
    </cfRule>
    <cfRule type="cellIs" dxfId="378" priority="492" stopIfTrue="1" operator="lessThan">
      <formula>9.5</formula>
    </cfRule>
  </conditionalFormatting>
  <conditionalFormatting sqref="AV15:AV47 AV49:AV50">
    <cfRule type="cellIs" dxfId="377" priority="489" stopIfTrue="1" operator="greaterThanOrEqual">
      <formula>9.5</formula>
    </cfRule>
    <cfRule type="cellIs" dxfId="376" priority="490" stopIfTrue="1" operator="lessThan">
      <formula>9.5</formula>
    </cfRule>
  </conditionalFormatting>
  <conditionalFormatting sqref="W15:X17 W19:X47 W49:X50">
    <cfRule type="cellIs" dxfId="375" priority="487" stopIfTrue="1" operator="greaterThanOrEqual">
      <formula>9.5</formula>
    </cfRule>
    <cfRule type="cellIs" dxfId="374" priority="488" stopIfTrue="1" operator="lessThan">
      <formula>9.5</formula>
    </cfRule>
  </conditionalFormatting>
  <conditionalFormatting sqref="W15:X17 W19:X47 W49:X50">
    <cfRule type="cellIs" dxfId="373" priority="485" stopIfTrue="1" operator="greaterThanOrEqual">
      <formula>9.5</formula>
    </cfRule>
    <cfRule type="cellIs" dxfId="372" priority="486" stopIfTrue="1" operator="lessThan">
      <formula>9.5</formula>
    </cfRule>
  </conditionalFormatting>
  <conditionalFormatting sqref="V15:V17 V19:V47 V49:V50">
    <cfRule type="cellIs" dxfId="371" priority="483" stopIfTrue="1" operator="greaterThanOrEqual">
      <formula>9.5</formula>
    </cfRule>
    <cfRule type="cellIs" dxfId="370" priority="484" stopIfTrue="1" operator="lessThan">
      <formula>9.5</formula>
    </cfRule>
  </conditionalFormatting>
  <conditionalFormatting sqref="V15:V17 V19:V47 V49:V50">
    <cfRule type="cellIs" dxfId="369" priority="481" stopIfTrue="1" operator="greaterThanOrEqual">
      <formula>9.5</formula>
    </cfRule>
    <cfRule type="cellIs" dxfId="368" priority="482" stopIfTrue="1" operator="lessThan">
      <formula>9.5</formula>
    </cfRule>
  </conditionalFormatting>
  <conditionalFormatting sqref="AQ15:AR47 AQ49:AR50">
    <cfRule type="cellIs" dxfId="367" priority="479" stopIfTrue="1" operator="greaterThanOrEqual">
      <formula>9.5</formula>
    </cfRule>
    <cfRule type="cellIs" dxfId="366" priority="480" stopIfTrue="1" operator="lessThan">
      <formula>9.5</formula>
    </cfRule>
  </conditionalFormatting>
  <conditionalFormatting sqref="AQ15:AR47 AQ49:AR50">
    <cfRule type="cellIs" dxfId="365" priority="477" stopIfTrue="1" operator="greaterThanOrEqual">
      <formula>9.5</formula>
    </cfRule>
    <cfRule type="cellIs" dxfId="364" priority="478" stopIfTrue="1" operator="lessThan">
      <formula>9.5</formula>
    </cfRule>
  </conditionalFormatting>
  <conditionalFormatting sqref="AP15:AP47 AP49:AP50">
    <cfRule type="cellIs" dxfId="363" priority="475" stopIfTrue="1" operator="greaterThanOrEqual">
      <formula>9.5</formula>
    </cfRule>
    <cfRule type="cellIs" dxfId="362" priority="476" stopIfTrue="1" operator="lessThan">
      <formula>9.5</formula>
    </cfRule>
  </conditionalFormatting>
  <conditionalFormatting sqref="AP15:AP47 AP49:AP50">
    <cfRule type="cellIs" dxfId="361" priority="473" stopIfTrue="1" operator="greaterThanOrEqual">
      <formula>9.5</formula>
    </cfRule>
    <cfRule type="cellIs" dxfId="360" priority="474" stopIfTrue="1" operator="lessThan">
      <formula>9.5</formula>
    </cfRule>
  </conditionalFormatting>
  <conditionalFormatting sqref="I15:J29 I47:J47 I46 I49:J50 I31:J34 I36:J45 J35">
    <cfRule type="cellIs" dxfId="359" priority="471" stopIfTrue="1" operator="greaterThanOrEqual">
      <formula>9.5</formula>
    </cfRule>
    <cfRule type="cellIs" dxfId="358" priority="472" stopIfTrue="1" operator="lessThan">
      <formula>9.5</formula>
    </cfRule>
  </conditionalFormatting>
  <conditionalFormatting sqref="I15:J29 I47:J47 I46 I49:J50 I31:J34 I36:J45 J35">
    <cfRule type="cellIs" dxfId="357" priority="469" stopIfTrue="1" operator="greaterThanOrEqual">
      <formula>9.5</formula>
    </cfRule>
    <cfRule type="cellIs" dxfId="356" priority="470" stopIfTrue="1" operator="lessThan">
      <formula>9.5</formula>
    </cfRule>
  </conditionalFormatting>
  <conditionalFormatting sqref="H15:H29 I15:K15 H49:H50 H31:H47">
    <cfRule type="cellIs" dxfId="355" priority="467" stopIfTrue="1" operator="greaterThanOrEqual">
      <formula>9.5</formula>
    </cfRule>
    <cfRule type="cellIs" dxfId="354" priority="468" stopIfTrue="1" operator="lessThan">
      <formula>9.5</formula>
    </cfRule>
  </conditionalFormatting>
  <conditionalFormatting sqref="H15:H29 I15:K15 H49:H50 H31:H47">
    <cfRule type="cellIs" dxfId="353" priority="465" stopIfTrue="1" operator="greaterThanOrEqual">
      <formula>9.5</formula>
    </cfRule>
    <cfRule type="cellIs" dxfId="352" priority="466" stopIfTrue="1" operator="lessThan">
      <formula>9.5</formula>
    </cfRule>
  </conditionalFormatting>
  <conditionalFormatting sqref="P15:Q47 P49:Q50">
    <cfRule type="cellIs" dxfId="351" priority="463" stopIfTrue="1" operator="greaterThanOrEqual">
      <formula>9.5</formula>
    </cfRule>
    <cfRule type="cellIs" dxfId="350" priority="464" stopIfTrue="1" operator="lessThan">
      <formula>9.5</formula>
    </cfRule>
  </conditionalFormatting>
  <conditionalFormatting sqref="P15:Q47 P49:Q50">
    <cfRule type="cellIs" dxfId="349" priority="461" stopIfTrue="1" operator="greaterThanOrEqual">
      <formula>9.5</formula>
    </cfRule>
    <cfRule type="cellIs" dxfId="348" priority="462" stopIfTrue="1" operator="lessThan">
      <formula>9.5</formula>
    </cfRule>
  </conditionalFormatting>
  <conditionalFormatting sqref="O15:O47 O49:O50">
    <cfRule type="cellIs" dxfId="347" priority="459" stopIfTrue="1" operator="greaterThanOrEqual">
      <formula>9.5</formula>
    </cfRule>
    <cfRule type="cellIs" dxfId="346" priority="460" stopIfTrue="1" operator="lessThan">
      <formula>9.5</formula>
    </cfRule>
  </conditionalFormatting>
  <conditionalFormatting sqref="O15:O47 O49:O50">
    <cfRule type="cellIs" dxfId="345" priority="457" stopIfTrue="1" operator="greaterThanOrEqual">
      <formula>9.5</formula>
    </cfRule>
    <cfRule type="cellIs" dxfId="344" priority="458" stopIfTrue="1" operator="lessThan">
      <formula>9.5</formula>
    </cfRule>
  </conditionalFormatting>
  <conditionalFormatting sqref="BX15:BY17 BX47:BY47 BY46 BX19:BY26 BY18 BX49:BY50 BX28:BY45 BY27">
    <cfRule type="cellIs" dxfId="343" priority="455" stopIfTrue="1" operator="greaterThanOrEqual">
      <formula>9.5</formula>
    </cfRule>
    <cfRule type="cellIs" dxfId="342" priority="456" stopIfTrue="1" operator="lessThan">
      <formula>9.5</formula>
    </cfRule>
  </conditionalFormatting>
  <conditionalFormatting sqref="BX15:BY17 BX47:BY47 BY46 BX19:BY26 BY18 BX49:BY50 BX28:BY45 BY27">
    <cfRule type="cellIs" dxfId="341" priority="453" stopIfTrue="1" operator="greaterThanOrEqual">
      <formula>9.5</formula>
    </cfRule>
    <cfRule type="cellIs" dxfId="340" priority="454" stopIfTrue="1" operator="lessThan">
      <formula>9.5</formula>
    </cfRule>
  </conditionalFormatting>
  <conditionalFormatting sqref="BW15:BW47 BW49:BW50">
    <cfRule type="cellIs" dxfId="339" priority="451" stopIfTrue="1" operator="greaterThanOrEqual">
      <formula>9.5</formula>
    </cfRule>
    <cfRule type="cellIs" dxfId="338" priority="452" stopIfTrue="1" operator="lessThan">
      <formula>9.5</formula>
    </cfRule>
  </conditionalFormatting>
  <conditionalFormatting sqref="BW15:BW47 BW49:BW50">
    <cfRule type="cellIs" dxfId="337" priority="449" stopIfTrue="1" operator="greaterThanOrEqual">
      <formula>9.5</formula>
    </cfRule>
    <cfRule type="cellIs" dxfId="336" priority="450" stopIfTrue="1" operator="lessThan">
      <formula>9.5</formula>
    </cfRule>
  </conditionalFormatting>
  <conditionalFormatting sqref="CE15:CF45 CE47:CF47 CE46 CE49:CF50">
    <cfRule type="cellIs" dxfId="335" priority="447" stopIfTrue="1" operator="greaterThanOrEqual">
      <formula>9.5</formula>
    </cfRule>
    <cfRule type="cellIs" dxfId="334" priority="448" stopIfTrue="1" operator="lessThan">
      <formula>9.5</formula>
    </cfRule>
  </conditionalFormatting>
  <conditionalFormatting sqref="CE15:CF45 CE47:CF47 CE46 CE49:CF50">
    <cfRule type="cellIs" dxfId="333" priority="445" stopIfTrue="1" operator="greaterThanOrEqual">
      <formula>9.5</formula>
    </cfRule>
    <cfRule type="cellIs" dxfId="332" priority="446" stopIfTrue="1" operator="lessThan">
      <formula>9.5</formula>
    </cfRule>
  </conditionalFormatting>
  <conditionalFormatting sqref="CG15:CG47 CG49:CG50">
    <cfRule type="cellIs" dxfId="331" priority="443" stopIfTrue="1" operator="greaterThanOrEqual">
      <formula>9.5</formula>
    </cfRule>
    <cfRule type="cellIs" dxfId="330" priority="444" stopIfTrue="1" operator="lessThan">
      <formula>9.5</formula>
    </cfRule>
  </conditionalFormatting>
  <conditionalFormatting sqref="CG15:CG47 CG49:CG50">
    <cfRule type="cellIs" dxfId="329" priority="441" stopIfTrue="1" operator="greaterThanOrEqual">
      <formula>9.5</formula>
    </cfRule>
    <cfRule type="cellIs" dxfId="328" priority="442" stopIfTrue="1" operator="lessThan">
      <formula>9.5</formula>
    </cfRule>
  </conditionalFormatting>
  <conditionalFormatting sqref="CD15:CD47 CD49:CD50">
    <cfRule type="cellIs" dxfId="327" priority="439" stopIfTrue="1" operator="greaterThanOrEqual">
      <formula>9.5</formula>
    </cfRule>
    <cfRule type="cellIs" dxfId="326" priority="440" stopIfTrue="1" operator="lessThan">
      <formula>9.5</formula>
    </cfRule>
  </conditionalFormatting>
  <conditionalFormatting sqref="CD15:CD47 CD49:CD50">
    <cfRule type="cellIs" dxfId="325" priority="437" stopIfTrue="1" operator="greaterThanOrEqual">
      <formula>9.5</formula>
    </cfRule>
    <cfRule type="cellIs" dxfId="324" priority="438" stopIfTrue="1" operator="lessThan">
      <formula>9.5</formula>
    </cfRule>
  </conditionalFormatting>
  <conditionalFormatting sqref="BQ15:BQ47 BQ49:BQ50">
    <cfRule type="cellIs" dxfId="323" priority="429" stopIfTrue="1" operator="greaterThanOrEqual">
      <formula>9.5</formula>
    </cfRule>
    <cfRule type="cellIs" dxfId="322" priority="430" stopIfTrue="1" operator="lessThan">
      <formula>9.5</formula>
    </cfRule>
  </conditionalFormatting>
  <conditionalFormatting sqref="BR15:BR47 BR49:BR50">
    <cfRule type="cellIs" dxfId="321" priority="435" stopIfTrue="1" operator="greaterThanOrEqual">
      <formula>9.5</formula>
    </cfRule>
    <cfRule type="cellIs" dxfId="320" priority="436" stopIfTrue="1" operator="lessThan">
      <formula>9.5</formula>
    </cfRule>
  </conditionalFormatting>
  <conditionalFormatting sqref="BR15:BR47 BR49:BR50">
    <cfRule type="cellIs" dxfId="319" priority="433" stopIfTrue="1" operator="greaterThanOrEqual">
      <formula>9.5</formula>
    </cfRule>
    <cfRule type="cellIs" dxfId="318" priority="434" stopIfTrue="1" operator="lessThan">
      <formula>9.5</formula>
    </cfRule>
  </conditionalFormatting>
  <conditionalFormatting sqref="BQ15:BQ47 BQ49:BQ50">
    <cfRule type="cellIs" dxfId="317" priority="431" stopIfTrue="1" operator="greaterThanOrEqual">
      <formula>9.5</formula>
    </cfRule>
    <cfRule type="cellIs" dxfId="316" priority="432" stopIfTrue="1" operator="lessThan">
      <formula>9.5</formula>
    </cfRule>
  </conditionalFormatting>
  <conditionalFormatting sqref="J46">
    <cfRule type="cellIs" dxfId="315" priority="427" stopIfTrue="1" operator="greaterThanOrEqual">
      <formula>9.5</formula>
    </cfRule>
    <cfRule type="cellIs" dxfId="314" priority="428" stopIfTrue="1" operator="lessThan">
      <formula>9.5</formula>
    </cfRule>
  </conditionalFormatting>
  <conditionalFormatting sqref="J46">
    <cfRule type="cellIs" dxfId="313" priority="425" stopIfTrue="1" operator="greaterThanOrEqual">
      <formula>9.5</formula>
    </cfRule>
    <cfRule type="cellIs" dxfId="312" priority="426" stopIfTrue="1" operator="lessThan">
      <formula>9.5</formula>
    </cfRule>
  </conditionalFormatting>
  <conditionalFormatting sqref="J46">
    <cfRule type="cellIs" dxfId="311" priority="423" stopIfTrue="1" operator="greaterThanOrEqual">
      <formula>9.5</formula>
    </cfRule>
    <cfRule type="cellIs" dxfId="310" priority="424" stopIfTrue="1" operator="lessThan">
      <formula>9.5</formula>
    </cfRule>
  </conditionalFormatting>
  <conditionalFormatting sqref="J46">
    <cfRule type="cellIs" dxfId="309" priority="421" stopIfTrue="1" operator="greaterThanOrEqual">
      <formula>9.5</formula>
    </cfRule>
    <cfRule type="cellIs" dxfId="308" priority="422" stopIfTrue="1" operator="lessThan">
      <formula>9.5</formula>
    </cfRule>
  </conditionalFormatting>
  <conditionalFormatting sqref="J46">
    <cfRule type="cellIs" dxfId="307" priority="418" operator="lessThan">
      <formula>10</formula>
    </cfRule>
    <cfRule type="cellIs" dxfId="306" priority="419" operator="lessThan">
      <formula>10</formula>
    </cfRule>
    <cfRule type="cellIs" dxfId="305" priority="420" operator="greaterThan">
      <formula>9.5</formula>
    </cfRule>
  </conditionalFormatting>
  <conditionalFormatting sqref="J46">
    <cfRule type="cellIs" dxfId="304" priority="417" operator="greaterThan">
      <formula>9</formula>
    </cfRule>
  </conditionalFormatting>
  <conditionalFormatting sqref="CF46">
    <cfRule type="cellIs" dxfId="303" priority="415" stopIfTrue="1" operator="greaterThanOrEqual">
      <formula>9.5</formula>
    </cfRule>
    <cfRule type="cellIs" dxfId="302" priority="416" stopIfTrue="1" operator="lessThan">
      <formula>9.5</formula>
    </cfRule>
  </conditionalFormatting>
  <conditionalFormatting sqref="CF46">
    <cfRule type="cellIs" dxfId="301" priority="413" stopIfTrue="1" operator="greaterThanOrEqual">
      <formula>9.5</formula>
    </cfRule>
    <cfRule type="cellIs" dxfId="300" priority="414" stopIfTrue="1" operator="lessThan">
      <formula>9.5</formula>
    </cfRule>
  </conditionalFormatting>
  <conditionalFormatting sqref="CF46">
    <cfRule type="cellIs" dxfId="299" priority="411" stopIfTrue="1" operator="greaterThanOrEqual">
      <formula>9.5</formula>
    </cfRule>
    <cfRule type="cellIs" dxfId="298" priority="412" stopIfTrue="1" operator="lessThan">
      <formula>9.5</formula>
    </cfRule>
  </conditionalFormatting>
  <conditionalFormatting sqref="CF46">
    <cfRule type="cellIs" dxfId="297" priority="409" stopIfTrue="1" operator="greaterThanOrEqual">
      <formula>9.5</formula>
    </cfRule>
    <cfRule type="cellIs" dxfId="296" priority="410" stopIfTrue="1" operator="lessThan">
      <formula>9.5</formula>
    </cfRule>
  </conditionalFormatting>
  <conditionalFormatting sqref="CF46">
    <cfRule type="cellIs" dxfId="295" priority="406" operator="lessThan">
      <formula>10</formula>
    </cfRule>
    <cfRule type="cellIs" dxfId="294" priority="407" operator="lessThan">
      <formula>10</formula>
    </cfRule>
    <cfRule type="cellIs" dxfId="293" priority="408" operator="greaterThan">
      <formula>9.5</formula>
    </cfRule>
  </conditionalFormatting>
  <conditionalFormatting sqref="CF46">
    <cfRule type="cellIs" dxfId="292" priority="405" operator="greaterThan">
      <formula>9</formula>
    </cfRule>
  </conditionalFormatting>
  <conditionalFormatting sqref="AL46 AX46 BJ46:BK46">
    <cfRule type="cellIs" dxfId="291" priority="355" stopIfTrue="1" operator="greaterThanOrEqual">
      <formula>9.5</formula>
    </cfRule>
    <cfRule type="cellIs" dxfId="290" priority="356" stopIfTrue="1" operator="lessThan">
      <formula>9.5</formula>
    </cfRule>
  </conditionalFormatting>
  <conditionalFormatting sqref="AL46 AX46 BJ46:BK46">
    <cfRule type="cellIs" dxfId="289" priority="353" stopIfTrue="1" operator="greaterThanOrEqual">
      <formula>9.5</formula>
    </cfRule>
    <cfRule type="cellIs" dxfId="288" priority="354" stopIfTrue="1" operator="lessThan">
      <formula>9.5</formula>
    </cfRule>
  </conditionalFormatting>
  <conditionalFormatting sqref="AL46 AX46 BJ46:BK46">
    <cfRule type="cellIs" dxfId="287" priority="351" stopIfTrue="1" operator="greaterThanOrEqual">
      <formula>9.5</formula>
    </cfRule>
    <cfRule type="cellIs" dxfId="286" priority="352" stopIfTrue="1" operator="lessThan">
      <formula>9.5</formula>
    </cfRule>
  </conditionalFormatting>
  <conditionalFormatting sqref="AL46 AX46 BJ46:BK46">
    <cfRule type="cellIs" dxfId="285" priority="349" stopIfTrue="1" operator="greaterThanOrEqual">
      <formula>9.5</formula>
    </cfRule>
    <cfRule type="cellIs" dxfId="284" priority="350" stopIfTrue="1" operator="lessThan">
      <formula>9.5</formula>
    </cfRule>
  </conditionalFormatting>
  <conditionalFormatting sqref="AL46 AX46 BJ46:BK46">
    <cfRule type="cellIs" dxfId="283" priority="346" operator="lessThan">
      <formula>10</formula>
    </cfRule>
    <cfRule type="cellIs" dxfId="282" priority="347" operator="lessThan">
      <formula>10</formula>
    </cfRule>
    <cfRule type="cellIs" dxfId="281" priority="348" operator="greaterThan">
      <formula>9.5</formula>
    </cfRule>
  </conditionalFormatting>
  <conditionalFormatting sqref="AL46 AX46 BJ46:BK46">
    <cfRule type="cellIs" dxfId="280" priority="345" operator="greaterThan">
      <formula>9</formula>
    </cfRule>
  </conditionalFormatting>
  <conditionalFormatting sqref="BX46">
    <cfRule type="cellIs" dxfId="279" priority="343" stopIfTrue="1" operator="greaterThanOrEqual">
      <formula>9.5</formula>
    </cfRule>
    <cfRule type="cellIs" dxfId="278" priority="344" stopIfTrue="1" operator="lessThan">
      <formula>9.5</formula>
    </cfRule>
  </conditionalFormatting>
  <conditionalFormatting sqref="BX46">
    <cfRule type="cellIs" dxfId="277" priority="341" stopIfTrue="1" operator="greaterThanOrEqual">
      <formula>9.5</formula>
    </cfRule>
    <cfRule type="cellIs" dxfId="276" priority="342" stopIfTrue="1" operator="lessThan">
      <formula>9.5</formula>
    </cfRule>
  </conditionalFormatting>
  <conditionalFormatting sqref="BX46">
    <cfRule type="cellIs" dxfId="275" priority="339" stopIfTrue="1" operator="greaterThanOrEqual">
      <formula>9.5</formula>
    </cfRule>
    <cfRule type="cellIs" dxfId="274" priority="340" stopIfTrue="1" operator="lessThan">
      <formula>9.5</formula>
    </cfRule>
  </conditionalFormatting>
  <conditionalFormatting sqref="BX46">
    <cfRule type="cellIs" dxfId="273" priority="337" stopIfTrue="1" operator="greaterThanOrEqual">
      <formula>9.5</formula>
    </cfRule>
    <cfRule type="cellIs" dxfId="272" priority="338" stopIfTrue="1" operator="lessThan">
      <formula>9.5</formula>
    </cfRule>
  </conditionalFormatting>
  <conditionalFormatting sqref="BX46">
    <cfRule type="cellIs" dxfId="271" priority="334" operator="lessThan">
      <formula>10</formula>
    </cfRule>
    <cfRule type="cellIs" dxfId="270" priority="335" operator="lessThan">
      <formula>10</formula>
    </cfRule>
    <cfRule type="cellIs" dxfId="269" priority="336" operator="greaterThan">
      <formula>9.5</formula>
    </cfRule>
  </conditionalFormatting>
  <conditionalFormatting sqref="BX46">
    <cfRule type="cellIs" dxfId="268" priority="333" operator="greaterThan">
      <formula>9</formula>
    </cfRule>
  </conditionalFormatting>
  <conditionalFormatting sqref="AJ18">
    <cfRule type="cellIs" dxfId="267" priority="331" stopIfTrue="1" operator="greaterThanOrEqual">
      <formula>9.5</formula>
    </cfRule>
    <cfRule type="cellIs" dxfId="266" priority="332" stopIfTrue="1" operator="lessThan">
      <formula>9.5</formula>
    </cfRule>
  </conditionalFormatting>
  <conditionalFormatting sqref="AJ18">
    <cfRule type="cellIs" dxfId="265" priority="329" stopIfTrue="1" operator="greaterThanOrEqual">
      <formula>9.5</formula>
    </cfRule>
    <cfRule type="cellIs" dxfId="264" priority="330" stopIfTrue="1" operator="lessThan">
      <formula>9.5</formula>
    </cfRule>
  </conditionalFormatting>
  <conditionalFormatting sqref="AJ18">
    <cfRule type="cellIs" dxfId="263" priority="327" stopIfTrue="1" operator="greaterThanOrEqual">
      <formula>9.5</formula>
    </cfRule>
    <cfRule type="cellIs" dxfId="262" priority="328" stopIfTrue="1" operator="lessThan">
      <formula>9.5</formula>
    </cfRule>
  </conditionalFormatting>
  <conditionalFormatting sqref="AJ18">
    <cfRule type="cellIs" dxfId="261" priority="325" stopIfTrue="1" operator="greaterThanOrEqual">
      <formula>9.5</formula>
    </cfRule>
    <cfRule type="cellIs" dxfId="260" priority="326" stopIfTrue="1" operator="lessThan">
      <formula>9.5</formula>
    </cfRule>
  </conditionalFormatting>
  <conditionalFormatting sqref="AJ18">
    <cfRule type="cellIs" dxfId="259" priority="322" operator="lessThan">
      <formula>10</formula>
    </cfRule>
    <cfRule type="cellIs" dxfId="258" priority="323" operator="lessThan">
      <formula>10</formula>
    </cfRule>
    <cfRule type="cellIs" dxfId="257" priority="324" operator="greaterThan">
      <formula>9.5</formula>
    </cfRule>
  </conditionalFormatting>
  <conditionalFormatting sqref="AJ18">
    <cfRule type="cellIs" dxfId="256" priority="321" operator="greaterThan">
      <formula>9</formula>
    </cfRule>
  </conditionalFormatting>
  <conditionalFormatting sqref="V18">
    <cfRule type="cellIs" dxfId="255" priority="319" stopIfTrue="1" operator="greaterThanOrEqual">
      <formula>9.5</formula>
    </cfRule>
    <cfRule type="cellIs" dxfId="254" priority="320" stopIfTrue="1" operator="lessThan">
      <formula>9.5</formula>
    </cfRule>
  </conditionalFormatting>
  <conditionalFormatting sqref="V18">
    <cfRule type="cellIs" dxfId="253" priority="317" stopIfTrue="1" operator="greaterThanOrEqual">
      <formula>9.5</formula>
    </cfRule>
    <cfRule type="cellIs" dxfId="252" priority="318" stopIfTrue="1" operator="lessThan">
      <formula>9.5</formula>
    </cfRule>
  </conditionalFormatting>
  <conditionalFormatting sqref="V18">
    <cfRule type="cellIs" dxfId="251" priority="315" stopIfTrue="1" operator="greaterThanOrEqual">
      <formula>9.5</formula>
    </cfRule>
    <cfRule type="cellIs" dxfId="250" priority="316" stopIfTrue="1" operator="lessThan">
      <formula>9.5</formula>
    </cfRule>
  </conditionalFormatting>
  <conditionalFormatting sqref="V18">
    <cfRule type="cellIs" dxfId="249" priority="313" stopIfTrue="1" operator="greaterThanOrEqual">
      <formula>9.5</formula>
    </cfRule>
    <cfRule type="cellIs" dxfId="248" priority="314" stopIfTrue="1" operator="lessThan">
      <formula>9.5</formula>
    </cfRule>
  </conditionalFormatting>
  <conditionalFormatting sqref="V18">
    <cfRule type="cellIs" dxfId="247" priority="310" operator="lessThan">
      <formula>10</formula>
    </cfRule>
    <cfRule type="cellIs" dxfId="246" priority="311" operator="lessThan">
      <formula>10</formula>
    </cfRule>
    <cfRule type="cellIs" dxfId="245" priority="312" operator="greaterThan">
      <formula>9.5</formula>
    </cfRule>
  </conditionalFormatting>
  <conditionalFormatting sqref="V18">
    <cfRule type="cellIs" dxfId="244" priority="309" operator="greaterThan">
      <formula>9</formula>
    </cfRule>
  </conditionalFormatting>
  <conditionalFormatting sqref="W18">
    <cfRule type="cellIs" dxfId="243" priority="307" stopIfTrue="1" operator="greaterThanOrEqual">
      <formula>9.5</formula>
    </cfRule>
    <cfRule type="cellIs" dxfId="242" priority="308" stopIfTrue="1" operator="lessThan">
      <formula>9.5</formula>
    </cfRule>
  </conditionalFormatting>
  <conditionalFormatting sqref="W18">
    <cfRule type="cellIs" dxfId="241" priority="305" stopIfTrue="1" operator="greaterThanOrEqual">
      <formula>9.5</formula>
    </cfRule>
    <cfRule type="cellIs" dxfId="240" priority="306" stopIfTrue="1" operator="lessThan">
      <formula>9.5</formula>
    </cfRule>
  </conditionalFormatting>
  <conditionalFormatting sqref="W18">
    <cfRule type="cellIs" dxfId="239" priority="303" stopIfTrue="1" operator="greaterThanOrEqual">
      <formula>9.5</formula>
    </cfRule>
    <cfRule type="cellIs" dxfId="238" priority="304" stopIfTrue="1" operator="lessThan">
      <formula>9.5</formula>
    </cfRule>
  </conditionalFormatting>
  <conditionalFormatting sqref="W18">
    <cfRule type="cellIs" dxfId="237" priority="301" stopIfTrue="1" operator="greaterThanOrEqual">
      <formula>9.5</formula>
    </cfRule>
    <cfRule type="cellIs" dxfId="236" priority="302" stopIfTrue="1" operator="lessThan">
      <formula>9.5</formula>
    </cfRule>
  </conditionalFormatting>
  <conditionalFormatting sqref="W18">
    <cfRule type="cellIs" dxfId="235" priority="298" operator="lessThan">
      <formula>10</formula>
    </cfRule>
    <cfRule type="cellIs" dxfId="234" priority="299" operator="lessThan">
      <formula>10</formula>
    </cfRule>
    <cfRule type="cellIs" dxfId="233" priority="300" operator="greaterThan">
      <formula>9.5</formula>
    </cfRule>
  </conditionalFormatting>
  <conditionalFormatting sqref="W18">
    <cfRule type="cellIs" dxfId="232" priority="297" operator="greaterThan">
      <formula>9</formula>
    </cfRule>
  </conditionalFormatting>
  <conditionalFormatting sqref="X18">
    <cfRule type="cellIs" dxfId="231" priority="295" stopIfTrue="1" operator="greaterThanOrEqual">
      <formula>9.5</formula>
    </cfRule>
    <cfRule type="cellIs" dxfId="230" priority="296" stopIfTrue="1" operator="lessThan">
      <formula>9.5</formula>
    </cfRule>
  </conditionalFormatting>
  <conditionalFormatting sqref="X18">
    <cfRule type="cellIs" dxfId="229" priority="293" stopIfTrue="1" operator="greaterThanOrEqual">
      <formula>9.5</formula>
    </cfRule>
    <cfRule type="cellIs" dxfId="228" priority="294" stopIfTrue="1" operator="lessThan">
      <formula>9.5</formula>
    </cfRule>
  </conditionalFormatting>
  <conditionalFormatting sqref="X18">
    <cfRule type="cellIs" dxfId="227" priority="291" stopIfTrue="1" operator="greaterThanOrEqual">
      <formula>9.5</formula>
    </cfRule>
    <cfRule type="cellIs" dxfId="226" priority="292" stopIfTrue="1" operator="lessThan">
      <formula>9.5</formula>
    </cfRule>
  </conditionalFormatting>
  <conditionalFormatting sqref="X18">
    <cfRule type="cellIs" dxfId="225" priority="289" stopIfTrue="1" operator="greaterThanOrEqual">
      <formula>9.5</formula>
    </cfRule>
    <cfRule type="cellIs" dxfId="224" priority="290" stopIfTrue="1" operator="lessThan">
      <formula>9.5</formula>
    </cfRule>
  </conditionalFormatting>
  <conditionalFormatting sqref="X18">
    <cfRule type="cellIs" dxfId="223" priority="286" operator="lessThan">
      <formula>10</formula>
    </cfRule>
    <cfRule type="cellIs" dxfId="222" priority="287" operator="lessThan">
      <formula>10</formula>
    </cfRule>
    <cfRule type="cellIs" dxfId="221" priority="288" operator="greaterThan">
      <formula>9.5</formula>
    </cfRule>
  </conditionalFormatting>
  <conditionalFormatting sqref="X18">
    <cfRule type="cellIs" dxfId="220" priority="285" operator="greaterThan">
      <formula>9</formula>
    </cfRule>
  </conditionalFormatting>
  <conditionalFormatting sqref="AJ25">
    <cfRule type="cellIs" dxfId="219" priority="271" stopIfTrue="1" operator="greaterThanOrEqual">
      <formula>9.5</formula>
    </cfRule>
    <cfRule type="cellIs" dxfId="218" priority="272" stopIfTrue="1" operator="lessThan">
      <formula>9.5</formula>
    </cfRule>
  </conditionalFormatting>
  <conditionalFormatting sqref="AJ25">
    <cfRule type="cellIs" dxfId="217" priority="269" stopIfTrue="1" operator="greaterThanOrEqual">
      <formula>9.5</formula>
    </cfRule>
    <cfRule type="cellIs" dxfId="216" priority="270" stopIfTrue="1" operator="lessThan">
      <formula>9.5</formula>
    </cfRule>
  </conditionalFormatting>
  <conditionalFormatting sqref="AJ25">
    <cfRule type="cellIs" dxfId="215" priority="267" stopIfTrue="1" operator="greaterThanOrEqual">
      <formula>9.5</formula>
    </cfRule>
    <cfRule type="cellIs" dxfId="214" priority="268" stopIfTrue="1" operator="lessThan">
      <formula>9.5</formula>
    </cfRule>
  </conditionalFormatting>
  <conditionalFormatting sqref="AJ25">
    <cfRule type="cellIs" dxfId="213" priority="265" stopIfTrue="1" operator="greaterThanOrEqual">
      <formula>9.5</formula>
    </cfRule>
    <cfRule type="cellIs" dxfId="212" priority="266" stopIfTrue="1" operator="lessThan">
      <formula>9.5</formula>
    </cfRule>
  </conditionalFormatting>
  <conditionalFormatting sqref="AJ25">
    <cfRule type="cellIs" dxfId="211" priority="262" operator="lessThan">
      <formula>10</formula>
    </cfRule>
    <cfRule type="cellIs" dxfId="210" priority="263" operator="lessThan">
      <formula>10</formula>
    </cfRule>
    <cfRule type="cellIs" dxfId="209" priority="264" operator="greaterThan">
      <formula>9.5</formula>
    </cfRule>
  </conditionalFormatting>
  <conditionalFormatting sqref="AJ25">
    <cfRule type="cellIs" dxfId="208" priority="261" operator="greaterThan">
      <formula>9</formula>
    </cfRule>
  </conditionalFormatting>
  <conditionalFormatting sqref="AJ23">
    <cfRule type="cellIs" dxfId="207" priority="259" stopIfTrue="1" operator="greaterThanOrEqual">
      <formula>9.5</formula>
    </cfRule>
    <cfRule type="cellIs" dxfId="206" priority="260" stopIfTrue="1" operator="lessThan">
      <formula>9.5</formula>
    </cfRule>
  </conditionalFormatting>
  <conditionalFormatting sqref="AJ23">
    <cfRule type="cellIs" dxfId="205" priority="257" stopIfTrue="1" operator="greaterThanOrEqual">
      <formula>9.5</formula>
    </cfRule>
    <cfRule type="cellIs" dxfId="204" priority="258" stopIfTrue="1" operator="lessThan">
      <formula>9.5</formula>
    </cfRule>
  </conditionalFormatting>
  <conditionalFormatting sqref="AJ23">
    <cfRule type="cellIs" dxfId="203" priority="255" stopIfTrue="1" operator="greaterThanOrEqual">
      <formula>9.5</formula>
    </cfRule>
    <cfRule type="cellIs" dxfId="202" priority="256" stopIfTrue="1" operator="lessThan">
      <formula>9.5</formula>
    </cfRule>
  </conditionalFormatting>
  <conditionalFormatting sqref="AJ23">
    <cfRule type="cellIs" dxfId="201" priority="253" stopIfTrue="1" operator="greaterThanOrEqual">
      <formula>9.5</formula>
    </cfRule>
    <cfRule type="cellIs" dxfId="200" priority="254" stopIfTrue="1" operator="lessThan">
      <formula>9.5</formula>
    </cfRule>
  </conditionalFormatting>
  <conditionalFormatting sqref="AJ23">
    <cfRule type="cellIs" dxfId="199" priority="250" operator="lessThan">
      <formula>10</formula>
    </cfRule>
    <cfRule type="cellIs" dxfId="198" priority="251" operator="lessThan">
      <formula>10</formula>
    </cfRule>
    <cfRule type="cellIs" dxfId="197" priority="252" operator="greaterThan">
      <formula>9.5</formula>
    </cfRule>
  </conditionalFormatting>
  <conditionalFormatting sqref="AJ23">
    <cfRule type="cellIs" dxfId="196" priority="249" operator="greaterThan">
      <formula>9</formula>
    </cfRule>
  </conditionalFormatting>
  <conditionalFormatting sqref="BX18">
    <cfRule type="cellIs" dxfId="195" priority="247" stopIfTrue="1" operator="greaterThanOrEqual">
      <formula>9.5</formula>
    </cfRule>
    <cfRule type="cellIs" dxfId="194" priority="248" stopIfTrue="1" operator="lessThan">
      <formula>9.5</formula>
    </cfRule>
  </conditionalFormatting>
  <conditionalFormatting sqref="BX18">
    <cfRule type="cellIs" dxfId="193" priority="245" stopIfTrue="1" operator="greaterThanOrEqual">
      <formula>9.5</formula>
    </cfRule>
    <cfRule type="cellIs" dxfId="192" priority="246" stopIfTrue="1" operator="lessThan">
      <formula>9.5</formula>
    </cfRule>
  </conditionalFormatting>
  <conditionalFormatting sqref="BX18">
    <cfRule type="cellIs" dxfId="191" priority="243" stopIfTrue="1" operator="greaterThanOrEqual">
      <formula>9.5</formula>
    </cfRule>
    <cfRule type="cellIs" dxfId="190" priority="244" stopIfTrue="1" operator="lessThan">
      <formula>9.5</formula>
    </cfRule>
  </conditionalFormatting>
  <conditionalFormatting sqref="BX18">
    <cfRule type="cellIs" dxfId="189" priority="241" stopIfTrue="1" operator="greaterThanOrEqual">
      <formula>9.5</formula>
    </cfRule>
    <cfRule type="cellIs" dxfId="188" priority="242" stopIfTrue="1" operator="lessThan">
      <formula>9.5</formula>
    </cfRule>
  </conditionalFormatting>
  <conditionalFormatting sqref="BX18">
    <cfRule type="cellIs" dxfId="187" priority="238" operator="lessThan">
      <formula>10</formula>
    </cfRule>
    <cfRule type="cellIs" dxfId="186" priority="239" operator="lessThan">
      <formula>10</formula>
    </cfRule>
    <cfRule type="cellIs" dxfId="185" priority="240" operator="greaterThan">
      <formula>9.5</formula>
    </cfRule>
  </conditionalFormatting>
  <conditionalFormatting sqref="BX18">
    <cfRule type="cellIs" dxfId="184" priority="237" operator="greaterThan">
      <formula>9</formula>
    </cfRule>
  </conditionalFormatting>
  <conditionalFormatting sqref="AJ30">
    <cfRule type="cellIs" dxfId="183" priority="235" stopIfTrue="1" operator="greaterThanOrEqual">
      <formula>9.5</formula>
    </cfRule>
    <cfRule type="cellIs" dxfId="182" priority="236" stopIfTrue="1" operator="lessThan">
      <formula>9.5</formula>
    </cfRule>
  </conditionalFormatting>
  <conditionalFormatting sqref="AJ30">
    <cfRule type="cellIs" dxfId="181" priority="233" stopIfTrue="1" operator="greaterThanOrEqual">
      <formula>9.5</formula>
    </cfRule>
    <cfRule type="cellIs" dxfId="180" priority="234" stopIfTrue="1" operator="lessThan">
      <formula>9.5</formula>
    </cfRule>
  </conditionalFormatting>
  <conditionalFormatting sqref="AJ30">
    <cfRule type="cellIs" dxfId="179" priority="231" stopIfTrue="1" operator="greaterThanOrEqual">
      <formula>9.5</formula>
    </cfRule>
    <cfRule type="cellIs" dxfId="178" priority="232" stopIfTrue="1" operator="lessThan">
      <formula>9.5</formula>
    </cfRule>
  </conditionalFormatting>
  <conditionalFormatting sqref="AJ30">
    <cfRule type="cellIs" dxfId="177" priority="229" stopIfTrue="1" operator="greaterThanOrEqual">
      <formula>9.5</formula>
    </cfRule>
    <cfRule type="cellIs" dxfId="176" priority="230" stopIfTrue="1" operator="lessThan">
      <formula>9.5</formula>
    </cfRule>
  </conditionalFormatting>
  <conditionalFormatting sqref="AJ30">
    <cfRule type="cellIs" dxfId="175" priority="226" operator="lessThan">
      <formula>10</formula>
    </cfRule>
    <cfRule type="cellIs" dxfId="174" priority="227" operator="lessThan">
      <formula>10</formula>
    </cfRule>
    <cfRule type="cellIs" dxfId="173" priority="228" operator="greaterThan">
      <formula>9.5</formula>
    </cfRule>
  </conditionalFormatting>
  <conditionalFormatting sqref="AJ30">
    <cfRule type="cellIs" dxfId="172" priority="225" operator="greaterThan">
      <formula>9</formula>
    </cfRule>
  </conditionalFormatting>
  <conditionalFormatting sqref="I48:J48">
    <cfRule type="cellIs" dxfId="171" priority="211" stopIfTrue="1" operator="greaterThanOrEqual">
      <formula>9.5</formula>
    </cfRule>
    <cfRule type="cellIs" dxfId="170" priority="212" stopIfTrue="1" operator="lessThan">
      <formula>9.5</formula>
    </cfRule>
  </conditionalFormatting>
  <conditionalFormatting sqref="I48:J48">
    <cfRule type="cellIs" dxfId="169" priority="209" stopIfTrue="1" operator="greaterThanOrEqual">
      <formula>9.5</formula>
    </cfRule>
    <cfRule type="cellIs" dxfId="168" priority="210" stopIfTrue="1" operator="lessThan">
      <formula>9.5</formula>
    </cfRule>
  </conditionalFormatting>
  <conditionalFormatting sqref="H48">
    <cfRule type="cellIs" dxfId="167" priority="207" stopIfTrue="1" operator="greaterThanOrEqual">
      <formula>9.5</formula>
    </cfRule>
    <cfRule type="cellIs" dxfId="166" priority="208" stopIfTrue="1" operator="lessThan">
      <formula>9.5</formula>
    </cfRule>
  </conditionalFormatting>
  <conditionalFormatting sqref="H48">
    <cfRule type="cellIs" dxfId="165" priority="205" stopIfTrue="1" operator="greaterThanOrEqual">
      <formula>9.5</formula>
    </cfRule>
    <cfRule type="cellIs" dxfId="164" priority="206" stopIfTrue="1" operator="lessThan">
      <formula>9.5</formula>
    </cfRule>
  </conditionalFormatting>
  <conditionalFormatting sqref="K48">
    <cfRule type="cellIs" dxfId="163" priority="203" stopIfTrue="1" operator="greaterThanOrEqual">
      <formula>9.5</formula>
    </cfRule>
    <cfRule type="cellIs" dxfId="162" priority="204" stopIfTrue="1" operator="lessThan">
      <formula>9.5</formula>
    </cfRule>
  </conditionalFormatting>
  <conditionalFormatting sqref="K48">
    <cfRule type="cellIs" dxfId="161" priority="201" stopIfTrue="1" operator="greaterThanOrEqual">
      <formula>9.5</formula>
    </cfRule>
    <cfRule type="cellIs" dxfId="160" priority="202" stopIfTrue="1" operator="lessThan">
      <formula>9.5</formula>
    </cfRule>
  </conditionalFormatting>
  <conditionalFormatting sqref="I30:J30">
    <cfRule type="cellIs" dxfId="159" priority="199" stopIfTrue="1" operator="greaterThanOrEqual">
      <formula>9.5</formula>
    </cfRule>
    <cfRule type="cellIs" dxfId="158" priority="200" stopIfTrue="1" operator="lessThan">
      <formula>9.5</formula>
    </cfRule>
  </conditionalFormatting>
  <conditionalFormatting sqref="I30:J30">
    <cfRule type="cellIs" dxfId="157" priority="197" stopIfTrue="1" operator="greaterThanOrEqual">
      <formula>9.5</formula>
    </cfRule>
    <cfRule type="cellIs" dxfId="156" priority="198" stopIfTrue="1" operator="lessThan">
      <formula>9.5</formula>
    </cfRule>
  </conditionalFormatting>
  <conditionalFormatting sqref="H30">
    <cfRule type="cellIs" dxfId="155" priority="195" stopIfTrue="1" operator="greaterThanOrEqual">
      <formula>9.5</formula>
    </cfRule>
    <cfRule type="cellIs" dxfId="154" priority="196" stopIfTrue="1" operator="lessThan">
      <formula>9.5</formula>
    </cfRule>
  </conditionalFormatting>
  <conditionalFormatting sqref="H30">
    <cfRule type="cellIs" dxfId="153" priority="193" stopIfTrue="1" operator="greaterThanOrEqual">
      <formula>9.5</formula>
    </cfRule>
    <cfRule type="cellIs" dxfId="152" priority="194" stopIfTrue="1" operator="lessThan">
      <formula>9.5</formula>
    </cfRule>
  </conditionalFormatting>
  <conditionalFormatting sqref="K30">
    <cfRule type="cellIs" dxfId="151" priority="191" stopIfTrue="1" operator="greaterThanOrEqual">
      <formula>9.5</formula>
    </cfRule>
    <cfRule type="cellIs" dxfId="150" priority="192" stopIfTrue="1" operator="lessThan">
      <formula>9.5</formula>
    </cfRule>
  </conditionalFormatting>
  <conditionalFormatting sqref="K30">
    <cfRule type="cellIs" dxfId="149" priority="189" stopIfTrue="1" operator="greaterThanOrEqual">
      <formula>9.5</formula>
    </cfRule>
    <cfRule type="cellIs" dxfId="148" priority="190" stopIfTrue="1" operator="lessThan">
      <formula>9.5</formula>
    </cfRule>
  </conditionalFormatting>
  <conditionalFormatting sqref="W48:X48">
    <cfRule type="cellIs" dxfId="147" priority="187" stopIfTrue="1" operator="greaterThanOrEqual">
      <formula>9.5</formula>
    </cfRule>
    <cfRule type="cellIs" dxfId="146" priority="188" stopIfTrue="1" operator="lessThan">
      <formula>9.5</formula>
    </cfRule>
  </conditionalFormatting>
  <conditionalFormatting sqref="W48:X48">
    <cfRule type="cellIs" dxfId="145" priority="185" stopIfTrue="1" operator="greaterThanOrEqual">
      <formula>9.5</formula>
    </cfRule>
    <cfRule type="cellIs" dxfId="144" priority="186" stopIfTrue="1" operator="lessThan">
      <formula>9.5</formula>
    </cfRule>
  </conditionalFormatting>
  <conditionalFormatting sqref="V48">
    <cfRule type="cellIs" dxfId="143" priority="183" stopIfTrue="1" operator="greaterThanOrEqual">
      <formula>9.5</formula>
    </cfRule>
    <cfRule type="cellIs" dxfId="142" priority="184" stopIfTrue="1" operator="lessThan">
      <formula>9.5</formula>
    </cfRule>
  </conditionalFormatting>
  <conditionalFormatting sqref="V48">
    <cfRule type="cellIs" dxfId="141" priority="181" stopIfTrue="1" operator="greaterThanOrEqual">
      <formula>9.5</formula>
    </cfRule>
    <cfRule type="cellIs" dxfId="140" priority="182" stopIfTrue="1" operator="lessThan">
      <formula>9.5</formula>
    </cfRule>
  </conditionalFormatting>
  <conditionalFormatting sqref="Y48">
    <cfRule type="cellIs" dxfId="139" priority="179" stopIfTrue="1" operator="greaterThanOrEqual">
      <formula>9.5</formula>
    </cfRule>
    <cfRule type="cellIs" dxfId="138" priority="180" stopIfTrue="1" operator="lessThan">
      <formula>9.5</formula>
    </cfRule>
  </conditionalFormatting>
  <conditionalFormatting sqref="Y48">
    <cfRule type="cellIs" dxfId="137" priority="177" stopIfTrue="1" operator="greaterThanOrEqual">
      <formula>9.5</formula>
    </cfRule>
    <cfRule type="cellIs" dxfId="136" priority="178" stopIfTrue="1" operator="lessThan">
      <formula>9.5</formula>
    </cfRule>
  </conditionalFormatting>
  <conditionalFormatting sqref="AD48:AE48">
    <cfRule type="cellIs" dxfId="135" priority="175" stopIfTrue="1" operator="greaterThanOrEqual">
      <formula>9.5</formula>
    </cfRule>
    <cfRule type="cellIs" dxfId="134" priority="176" stopIfTrue="1" operator="lessThan">
      <formula>9.5</formula>
    </cfRule>
  </conditionalFormatting>
  <conditionalFormatting sqref="AD48:AE48">
    <cfRule type="cellIs" dxfId="133" priority="173" stopIfTrue="1" operator="greaterThanOrEqual">
      <formula>9.5</formula>
    </cfRule>
    <cfRule type="cellIs" dxfId="132" priority="174" stopIfTrue="1" operator="lessThan">
      <formula>9.5</formula>
    </cfRule>
  </conditionalFormatting>
  <conditionalFormatting sqref="AC48">
    <cfRule type="cellIs" dxfId="131" priority="171" stopIfTrue="1" operator="greaterThanOrEqual">
      <formula>9.5</formula>
    </cfRule>
    <cfRule type="cellIs" dxfId="130" priority="172" stopIfTrue="1" operator="lessThan">
      <formula>9.5</formula>
    </cfRule>
  </conditionalFormatting>
  <conditionalFormatting sqref="AC48">
    <cfRule type="cellIs" dxfId="129" priority="169" stopIfTrue="1" operator="greaterThanOrEqual">
      <formula>9.5</formula>
    </cfRule>
    <cfRule type="cellIs" dxfId="128" priority="170" stopIfTrue="1" operator="lessThan">
      <formula>9.5</formula>
    </cfRule>
  </conditionalFormatting>
  <conditionalFormatting sqref="AF48">
    <cfRule type="cellIs" dxfId="127" priority="167" stopIfTrue="1" operator="greaterThanOrEqual">
      <formula>9.5</formula>
    </cfRule>
    <cfRule type="cellIs" dxfId="126" priority="168" stopIfTrue="1" operator="lessThan">
      <formula>9.5</formula>
    </cfRule>
  </conditionalFormatting>
  <conditionalFormatting sqref="AF48">
    <cfRule type="cellIs" dxfId="125" priority="165" stopIfTrue="1" operator="greaterThanOrEqual">
      <formula>9.5</formula>
    </cfRule>
    <cfRule type="cellIs" dxfId="124" priority="166" stopIfTrue="1" operator="lessThan">
      <formula>9.5</formula>
    </cfRule>
  </conditionalFormatting>
  <conditionalFormatting sqref="AW48:AX48">
    <cfRule type="cellIs" dxfId="123" priority="163" stopIfTrue="1" operator="greaterThanOrEqual">
      <formula>9.5</formula>
    </cfRule>
    <cfRule type="cellIs" dxfId="122" priority="164" stopIfTrue="1" operator="lessThan">
      <formula>9.5</formula>
    </cfRule>
  </conditionalFormatting>
  <conditionalFormatting sqref="AW48:AX48">
    <cfRule type="cellIs" dxfId="121" priority="161" stopIfTrue="1" operator="greaterThanOrEqual">
      <formula>9.5</formula>
    </cfRule>
    <cfRule type="cellIs" dxfId="120" priority="162" stopIfTrue="1" operator="lessThan">
      <formula>9.5</formula>
    </cfRule>
  </conditionalFormatting>
  <conditionalFormatting sqref="AV48">
    <cfRule type="cellIs" dxfId="119" priority="159" stopIfTrue="1" operator="greaterThanOrEqual">
      <formula>9.5</formula>
    </cfRule>
    <cfRule type="cellIs" dxfId="118" priority="160" stopIfTrue="1" operator="lessThan">
      <formula>9.5</formula>
    </cfRule>
  </conditionalFormatting>
  <conditionalFormatting sqref="AV48">
    <cfRule type="cellIs" dxfId="117" priority="157" stopIfTrue="1" operator="greaterThanOrEqual">
      <formula>9.5</formula>
    </cfRule>
    <cfRule type="cellIs" dxfId="116" priority="158" stopIfTrue="1" operator="lessThan">
      <formula>9.5</formula>
    </cfRule>
  </conditionalFormatting>
  <conditionalFormatting sqref="AY48">
    <cfRule type="cellIs" dxfId="115" priority="155" stopIfTrue="1" operator="greaterThanOrEqual">
      <formula>9.5</formula>
    </cfRule>
    <cfRule type="cellIs" dxfId="114" priority="156" stopIfTrue="1" operator="lessThan">
      <formula>9.5</formula>
    </cfRule>
  </conditionalFormatting>
  <conditionalFormatting sqref="AY48">
    <cfRule type="cellIs" dxfId="113" priority="153" stopIfTrue="1" operator="greaterThanOrEqual">
      <formula>9.5</formula>
    </cfRule>
    <cfRule type="cellIs" dxfId="112" priority="154" stopIfTrue="1" operator="lessThan">
      <formula>9.5</formula>
    </cfRule>
  </conditionalFormatting>
  <conditionalFormatting sqref="BD48:BE48">
    <cfRule type="cellIs" dxfId="111" priority="151" stopIfTrue="1" operator="greaterThanOrEqual">
      <formula>9.5</formula>
    </cfRule>
    <cfRule type="cellIs" dxfId="110" priority="152" stopIfTrue="1" operator="lessThan">
      <formula>9.5</formula>
    </cfRule>
  </conditionalFormatting>
  <conditionalFormatting sqref="BD48:BE48">
    <cfRule type="cellIs" dxfId="109" priority="149" stopIfTrue="1" operator="greaterThanOrEqual">
      <formula>9.5</formula>
    </cfRule>
    <cfRule type="cellIs" dxfId="108" priority="150" stopIfTrue="1" operator="lessThan">
      <formula>9.5</formula>
    </cfRule>
  </conditionalFormatting>
  <conditionalFormatting sqref="BC48">
    <cfRule type="cellIs" dxfId="107" priority="147" stopIfTrue="1" operator="greaterThanOrEqual">
      <formula>9.5</formula>
    </cfRule>
    <cfRule type="cellIs" dxfId="106" priority="148" stopIfTrue="1" operator="lessThan">
      <formula>9.5</formula>
    </cfRule>
  </conditionalFormatting>
  <conditionalFormatting sqref="BC48">
    <cfRule type="cellIs" dxfId="105" priority="145" stopIfTrue="1" operator="greaterThanOrEqual">
      <formula>9.5</formula>
    </cfRule>
    <cfRule type="cellIs" dxfId="104" priority="146" stopIfTrue="1" operator="lessThan">
      <formula>9.5</formula>
    </cfRule>
  </conditionalFormatting>
  <conditionalFormatting sqref="BF48">
    <cfRule type="cellIs" dxfId="103" priority="143" stopIfTrue="1" operator="greaterThanOrEqual">
      <formula>9.5</formula>
    </cfRule>
    <cfRule type="cellIs" dxfId="102" priority="144" stopIfTrue="1" operator="lessThan">
      <formula>9.5</formula>
    </cfRule>
  </conditionalFormatting>
  <conditionalFormatting sqref="BF48">
    <cfRule type="cellIs" dxfId="101" priority="141" stopIfTrue="1" operator="greaterThanOrEqual">
      <formula>9.5</formula>
    </cfRule>
    <cfRule type="cellIs" dxfId="100" priority="142" stopIfTrue="1" operator="lessThan">
      <formula>9.5</formula>
    </cfRule>
  </conditionalFormatting>
  <conditionalFormatting sqref="BK48:BL48">
    <cfRule type="cellIs" dxfId="99" priority="139" stopIfTrue="1" operator="greaterThanOrEqual">
      <formula>9.5</formula>
    </cfRule>
    <cfRule type="cellIs" dxfId="98" priority="140" stopIfTrue="1" operator="lessThan">
      <formula>9.5</formula>
    </cfRule>
  </conditionalFormatting>
  <conditionalFormatting sqref="BK48:BL48">
    <cfRule type="cellIs" dxfId="97" priority="137" stopIfTrue="1" operator="greaterThanOrEqual">
      <formula>9.5</formula>
    </cfRule>
    <cfRule type="cellIs" dxfId="96" priority="138" stopIfTrue="1" operator="lessThan">
      <formula>9.5</formula>
    </cfRule>
  </conditionalFormatting>
  <conditionalFormatting sqref="BJ48">
    <cfRule type="cellIs" dxfId="95" priority="135" stopIfTrue="1" operator="greaterThanOrEqual">
      <formula>9.5</formula>
    </cfRule>
    <cfRule type="cellIs" dxfId="94" priority="136" stopIfTrue="1" operator="lessThan">
      <formula>9.5</formula>
    </cfRule>
  </conditionalFormatting>
  <conditionalFormatting sqref="BJ48">
    <cfRule type="cellIs" dxfId="93" priority="133" stopIfTrue="1" operator="greaterThanOrEqual">
      <formula>9.5</formula>
    </cfRule>
    <cfRule type="cellIs" dxfId="92" priority="134" stopIfTrue="1" operator="lessThan">
      <formula>9.5</formula>
    </cfRule>
  </conditionalFormatting>
  <conditionalFormatting sqref="BM48">
    <cfRule type="cellIs" dxfId="91" priority="131" stopIfTrue="1" operator="greaterThanOrEqual">
      <formula>9.5</formula>
    </cfRule>
    <cfRule type="cellIs" dxfId="90" priority="132" stopIfTrue="1" operator="lessThan">
      <formula>9.5</formula>
    </cfRule>
  </conditionalFormatting>
  <conditionalFormatting sqref="BM48">
    <cfRule type="cellIs" dxfId="89" priority="129" stopIfTrue="1" operator="greaterThanOrEqual">
      <formula>9.5</formula>
    </cfRule>
    <cfRule type="cellIs" dxfId="88" priority="130" stopIfTrue="1" operator="lessThan">
      <formula>9.5</formula>
    </cfRule>
  </conditionalFormatting>
  <conditionalFormatting sqref="CE48:CF48">
    <cfRule type="cellIs" dxfId="87" priority="115" stopIfTrue="1" operator="greaterThanOrEqual">
      <formula>9.5</formula>
    </cfRule>
    <cfRule type="cellIs" dxfId="86" priority="116" stopIfTrue="1" operator="lessThan">
      <formula>9.5</formula>
    </cfRule>
  </conditionalFormatting>
  <conditionalFormatting sqref="CE48:CF48">
    <cfRule type="cellIs" dxfId="85" priority="113" stopIfTrue="1" operator="greaterThanOrEqual">
      <formula>9.5</formula>
    </cfRule>
    <cfRule type="cellIs" dxfId="84" priority="114" stopIfTrue="1" operator="lessThan">
      <formula>9.5</formula>
    </cfRule>
  </conditionalFormatting>
  <conditionalFormatting sqref="CD48">
    <cfRule type="cellIs" dxfId="83" priority="111" stopIfTrue="1" operator="greaterThanOrEqual">
      <formula>9.5</formula>
    </cfRule>
    <cfRule type="cellIs" dxfId="82" priority="112" stopIfTrue="1" operator="lessThan">
      <formula>9.5</formula>
    </cfRule>
  </conditionalFormatting>
  <conditionalFormatting sqref="CD48">
    <cfRule type="cellIs" dxfId="81" priority="109" stopIfTrue="1" operator="greaterThanOrEqual">
      <formula>9.5</formula>
    </cfRule>
    <cfRule type="cellIs" dxfId="80" priority="110" stopIfTrue="1" operator="lessThan">
      <formula>9.5</formula>
    </cfRule>
  </conditionalFormatting>
  <conditionalFormatting sqref="CG48">
    <cfRule type="cellIs" dxfId="79" priority="107" stopIfTrue="1" operator="greaterThanOrEqual">
      <formula>9.5</formula>
    </cfRule>
    <cfRule type="cellIs" dxfId="78" priority="108" stopIfTrue="1" operator="lessThan">
      <formula>9.5</formula>
    </cfRule>
  </conditionalFormatting>
  <conditionalFormatting sqref="CG48">
    <cfRule type="cellIs" dxfId="77" priority="105" stopIfTrue="1" operator="greaterThanOrEqual">
      <formula>9.5</formula>
    </cfRule>
    <cfRule type="cellIs" dxfId="76" priority="106" stopIfTrue="1" operator="lessThan">
      <formula>9.5</formula>
    </cfRule>
  </conditionalFormatting>
  <conditionalFormatting sqref="I35">
    <cfRule type="cellIs" dxfId="75" priority="99" stopIfTrue="1" operator="greaterThanOrEqual">
      <formula>9.5</formula>
    </cfRule>
    <cfRule type="cellIs" dxfId="74" priority="100" stopIfTrue="1" operator="lessThan">
      <formula>9.5</formula>
    </cfRule>
  </conditionalFormatting>
  <conditionalFormatting sqref="I35">
    <cfRule type="cellIs" dxfId="73" priority="97" stopIfTrue="1" operator="greaterThanOrEqual">
      <formula>9.5</formula>
    </cfRule>
    <cfRule type="cellIs" dxfId="72" priority="98" stopIfTrue="1" operator="lessThan">
      <formula>9.5</formula>
    </cfRule>
  </conditionalFormatting>
  <conditionalFormatting sqref="BC35:BD35">
    <cfRule type="cellIs" dxfId="71" priority="91" stopIfTrue="1" operator="greaterThanOrEqual">
      <formula>9.5</formula>
    </cfRule>
    <cfRule type="cellIs" dxfId="70" priority="92" stopIfTrue="1" operator="lessThan">
      <formula>9.5</formula>
    </cfRule>
  </conditionalFormatting>
  <conditionalFormatting sqref="BC35:BD35">
    <cfRule type="cellIs" dxfId="69" priority="89" stopIfTrue="1" operator="greaterThanOrEqual">
      <formula>9.5</formula>
    </cfRule>
    <cfRule type="cellIs" dxfId="68" priority="90" stopIfTrue="1" operator="lessThan">
      <formula>9.5</formula>
    </cfRule>
  </conditionalFormatting>
  <conditionalFormatting sqref="AJ46">
    <cfRule type="cellIs" dxfId="67" priority="87" stopIfTrue="1" operator="greaterThanOrEqual">
      <formula>9.5</formula>
    </cfRule>
    <cfRule type="cellIs" dxfId="66" priority="88" stopIfTrue="1" operator="lessThan">
      <formula>9.5</formula>
    </cfRule>
  </conditionalFormatting>
  <conditionalFormatting sqref="AJ46">
    <cfRule type="cellIs" dxfId="65" priority="85" stopIfTrue="1" operator="greaterThanOrEqual">
      <formula>9.5</formula>
    </cfRule>
    <cfRule type="cellIs" dxfId="64" priority="86" stopIfTrue="1" operator="lessThan">
      <formula>9.5</formula>
    </cfRule>
  </conditionalFormatting>
  <conditionalFormatting sqref="BX27">
    <cfRule type="cellIs" dxfId="63" priority="79" stopIfTrue="1" operator="greaterThanOrEqual">
      <formula>9.5</formula>
    </cfRule>
    <cfRule type="cellIs" dxfId="62" priority="80" stopIfTrue="1" operator="lessThan">
      <formula>9.5</formula>
    </cfRule>
  </conditionalFormatting>
  <conditionalFormatting sqref="BX27">
    <cfRule type="cellIs" dxfId="61" priority="77" stopIfTrue="1" operator="greaterThanOrEqual">
      <formula>9.5</formula>
    </cfRule>
    <cfRule type="cellIs" dxfId="60" priority="78" stopIfTrue="1" operator="lessThan">
      <formula>9.5</formula>
    </cfRule>
  </conditionalFormatting>
  <conditionalFormatting sqref="P48:Q48">
    <cfRule type="cellIs" dxfId="59" priority="71" stopIfTrue="1" operator="greaterThanOrEqual">
      <formula>9.5</formula>
    </cfRule>
    <cfRule type="cellIs" dxfId="58" priority="72" stopIfTrue="1" operator="lessThan">
      <formula>9.5</formula>
    </cfRule>
  </conditionalFormatting>
  <conditionalFormatting sqref="P48:Q48">
    <cfRule type="cellIs" dxfId="57" priority="69" stopIfTrue="1" operator="greaterThanOrEqual">
      <formula>9.5</formula>
    </cfRule>
    <cfRule type="cellIs" dxfId="56" priority="70" stopIfTrue="1" operator="lessThan">
      <formula>9.5</formula>
    </cfRule>
  </conditionalFormatting>
  <conditionalFormatting sqref="O48">
    <cfRule type="cellIs" dxfId="55" priority="67" stopIfTrue="1" operator="greaterThanOrEqual">
      <formula>9.5</formula>
    </cfRule>
    <cfRule type="cellIs" dxfId="54" priority="68" stopIfTrue="1" operator="lessThan">
      <formula>9.5</formula>
    </cfRule>
  </conditionalFormatting>
  <conditionalFormatting sqref="O48">
    <cfRule type="cellIs" dxfId="53" priority="65" stopIfTrue="1" operator="greaterThanOrEqual">
      <formula>9.5</formula>
    </cfRule>
    <cfRule type="cellIs" dxfId="52" priority="66" stopIfTrue="1" operator="lessThan">
      <formula>9.5</formula>
    </cfRule>
  </conditionalFormatting>
  <conditionalFormatting sqref="R48">
    <cfRule type="cellIs" dxfId="51" priority="63" stopIfTrue="1" operator="greaterThanOrEqual">
      <formula>9.5</formula>
    </cfRule>
    <cfRule type="cellIs" dxfId="50" priority="64" stopIfTrue="1" operator="lessThan">
      <formula>9.5</formula>
    </cfRule>
  </conditionalFormatting>
  <conditionalFormatting sqref="R48">
    <cfRule type="cellIs" dxfId="49" priority="61" stopIfTrue="1" operator="greaterThanOrEqual">
      <formula>9.5</formula>
    </cfRule>
    <cfRule type="cellIs" dxfId="48" priority="62" stopIfTrue="1" operator="lessThan">
      <formula>9.5</formula>
    </cfRule>
  </conditionalFormatting>
  <conditionalFormatting sqref="AK48:AL48">
    <cfRule type="cellIs" dxfId="47" priority="47" stopIfTrue="1" operator="greaterThanOrEqual">
      <formula>9.5</formula>
    </cfRule>
    <cfRule type="cellIs" dxfId="46" priority="48" stopIfTrue="1" operator="lessThan">
      <formula>9.5</formula>
    </cfRule>
  </conditionalFormatting>
  <conditionalFormatting sqref="AK48:AL48">
    <cfRule type="cellIs" dxfId="45" priority="45" stopIfTrue="1" operator="greaterThanOrEqual">
      <formula>9.5</formula>
    </cfRule>
    <cfRule type="cellIs" dxfId="44" priority="46" stopIfTrue="1" operator="lessThan">
      <formula>9.5</formula>
    </cfRule>
  </conditionalFormatting>
  <conditionalFormatting sqref="AJ48">
    <cfRule type="cellIs" dxfId="43" priority="43" stopIfTrue="1" operator="greaterThanOrEqual">
      <formula>9.5</formula>
    </cfRule>
    <cfRule type="cellIs" dxfId="42" priority="44" stopIfTrue="1" operator="lessThan">
      <formula>9.5</formula>
    </cfRule>
  </conditionalFormatting>
  <conditionalFormatting sqref="AJ48">
    <cfRule type="cellIs" dxfId="41" priority="41" stopIfTrue="1" operator="greaterThanOrEqual">
      <formula>9.5</formula>
    </cfRule>
    <cfRule type="cellIs" dxfId="40" priority="42" stopIfTrue="1" operator="lessThan">
      <formula>9.5</formula>
    </cfRule>
  </conditionalFormatting>
  <conditionalFormatting sqref="AM48">
    <cfRule type="cellIs" dxfId="39" priority="39" stopIfTrue="1" operator="greaterThanOrEqual">
      <formula>9.5</formula>
    </cfRule>
    <cfRule type="cellIs" dxfId="38" priority="40" stopIfTrue="1" operator="lessThan">
      <formula>9.5</formula>
    </cfRule>
  </conditionalFormatting>
  <conditionalFormatting sqref="AM48">
    <cfRule type="cellIs" dxfId="37" priority="37" stopIfTrue="1" operator="greaterThanOrEqual">
      <formula>9.5</formula>
    </cfRule>
    <cfRule type="cellIs" dxfId="36" priority="38" stopIfTrue="1" operator="lessThan">
      <formula>9.5</formula>
    </cfRule>
  </conditionalFormatting>
  <conditionalFormatting sqref="AQ48:AR48">
    <cfRule type="cellIs" dxfId="35" priority="35" stopIfTrue="1" operator="greaterThanOrEqual">
      <formula>9.5</formula>
    </cfRule>
    <cfRule type="cellIs" dxfId="34" priority="36" stopIfTrue="1" operator="lessThan">
      <formula>9.5</formula>
    </cfRule>
  </conditionalFormatting>
  <conditionalFormatting sqref="AQ48:AR48">
    <cfRule type="cellIs" dxfId="33" priority="33" stopIfTrue="1" operator="greaterThanOrEqual">
      <formula>9.5</formula>
    </cfRule>
    <cfRule type="cellIs" dxfId="32" priority="34" stopIfTrue="1" operator="lessThan">
      <formula>9.5</formula>
    </cfRule>
  </conditionalFormatting>
  <conditionalFormatting sqref="AP48">
    <cfRule type="cellIs" dxfId="31" priority="31" stopIfTrue="1" operator="greaterThanOrEqual">
      <formula>9.5</formula>
    </cfRule>
    <cfRule type="cellIs" dxfId="30" priority="32" stopIfTrue="1" operator="lessThan">
      <formula>9.5</formula>
    </cfRule>
  </conditionalFormatting>
  <conditionalFormatting sqref="AP48">
    <cfRule type="cellIs" dxfId="29" priority="29" stopIfTrue="1" operator="greaterThanOrEqual">
      <formula>9.5</formula>
    </cfRule>
    <cfRule type="cellIs" dxfId="28" priority="30" stopIfTrue="1" operator="lessThan">
      <formula>9.5</formula>
    </cfRule>
  </conditionalFormatting>
  <conditionalFormatting sqref="AS48">
    <cfRule type="cellIs" dxfId="27" priority="27" stopIfTrue="1" operator="greaterThanOrEqual">
      <formula>9.5</formula>
    </cfRule>
    <cfRule type="cellIs" dxfId="26" priority="28" stopIfTrue="1" operator="lessThan">
      <formula>9.5</formula>
    </cfRule>
  </conditionalFormatting>
  <conditionalFormatting sqref="AS48">
    <cfRule type="cellIs" dxfId="25" priority="25" stopIfTrue="1" operator="greaterThanOrEqual">
      <formula>9.5</formula>
    </cfRule>
    <cfRule type="cellIs" dxfId="24" priority="26" stopIfTrue="1" operator="lessThan">
      <formula>9.5</formula>
    </cfRule>
  </conditionalFormatting>
  <conditionalFormatting sqref="BQ48:BR48">
    <cfRule type="cellIs" dxfId="23" priority="23" stopIfTrue="1" operator="greaterThanOrEqual">
      <formula>9.5</formula>
    </cfRule>
    <cfRule type="cellIs" dxfId="22" priority="24" stopIfTrue="1" operator="lessThan">
      <formula>9.5</formula>
    </cfRule>
  </conditionalFormatting>
  <conditionalFormatting sqref="BQ48:BR48">
    <cfRule type="cellIs" dxfId="21" priority="21" stopIfTrue="1" operator="greaterThanOrEqual">
      <formula>9.5</formula>
    </cfRule>
    <cfRule type="cellIs" dxfId="20" priority="22" stopIfTrue="1" operator="lessThan">
      <formula>9.5</formula>
    </cfRule>
  </conditionalFormatting>
  <conditionalFormatting sqref="BP48">
    <cfRule type="cellIs" dxfId="19" priority="19" stopIfTrue="1" operator="greaterThanOrEqual">
      <formula>9.5</formula>
    </cfRule>
    <cfRule type="cellIs" dxfId="18" priority="20" stopIfTrue="1" operator="lessThan">
      <formula>9.5</formula>
    </cfRule>
  </conditionalFormatting>
  <conditionalFormatting sqref="BP48">
    <cfRule type="cellIs" dxfId="17" priority="17" stopIfTrue="1" operator="greaterThanOrEqual">
      <formula>9.5</formula>
    </cfRule>
    <cfRule type="cellIs" dxfId="16" priority="18" stopIfTrue="1" operator="lessThan">
      <formula>9.5</formula>
    </cfRule>
  </conditionalFormatting>
  <conditionalFormatting sqref="BS48">
    <cfRule type="cellIs" dxfId="15" priority="15" stopIfTrue="1" operator="greaterThanOrEqual">
      <formula>9.5</formula>
    </cfRule>
    <cfRule type="cellIs" dxfId="14" priority="16" stopIfTrue="1" operator="lessThan">
      <formula>9.5</formula>
    </cfRule>
  </conditionalFormatting>
  <conditionalFormatting sqref="BS48">
    <cfRule type="cellIs" dxfId="13" priority="13" stopIfTrue="1" operator="greaterThanOrEqual">
      <formula>9.5</formula>
    </cfRule>
    <cfRule type="cellIs" dxfId="12" priority="14" stopIfTrue="1" operator="lessThan">
      <formula>9.5</formula>
    </cfRule>
  </conditionalFormatting>
  <conditionalFormatting sqref="BX48:BY48">
    <cfRule type="cellIs" dxfId="11" priority="11" stopIfTrue="1" operator="greaterThanOrEqual">
      <formula>9.5</formula>
    </cfRule>
    <cfRule type="cellIs" dxfId="10" priority="12" stopIfTrue="1" operator="lessThan">
      <formula>9.5</formula>
    </cfRule>
  </conditionalFormatting>
  <conditionalFormatting sqref="BX48:BY48">
    <cfRule type="cellIs" dxfId="9" priority="9" stopIfTrue="1" operator="greaterThanOrEqual">
      <formula>9.5</formula>
    </cfRule>
    <cfRule type="cellIs" dxfId="8" priority="10" stopIfTrue="1" operator="lessThan">
      <formula>9.5</formula>
    </cfRule>
  </conditionalFormatting>
  <conditionalFormatting sqref="BW48">
    <cfRule type="cellIs" dxfId="7" priority="7" stopIfTrue="1" operator="greaterThanOrEqual">
      <formula>9.5</formula>
    </cfRule>
    <cfRule type="cellIs" dxfId="6" priority="8" stopIfTrue="1" operator="lessThan">
      <formula>9.5</formula>
    </cfRule>
  </conditionalFormatting>
  <conditionalFormatting sqref="BW48">
    <cfRule type="cellIs" dxfId="5" priority="5" stopIfTrue="1" operator="greaterThanOrEqual">
      <formula>9.5</formula>
    </cfRule>
    <cfRule type="cellIs" dxfId="4" priority="6" stopIfTrue="1" operator="lessThan">
      <formula>9.5</formula>
    </cfRule>
  </conditionalFormatting>
  <conditionalFormatting sqref="BZ48">
    <cfRule type="cellIs" dxfId="3" priority="3" stopIfTrue="1" operator="greaterThanOrEqual">
      <formula>9.5</formula>
    </cfRule>
    <cfRule type="cellIs" dxfId="2" priority="4" stopIfTrue="1" operator="lessThan">
      <formula>9.5</formula>
    </cfRule>
  </conditionalFormatting>
  <conditionalFormatting sqref="BZ48">
    <cfRule type="cellIs" dxfId="1" priority="1" stopIfTrue="1" operator="greaterThanOrEqual">
      <formula>9.5</formula>
    </cfRule>
    <cfRule type="cellIs" dxfId="0" priority="2" stopIfTrue="1" operator="lessThan">
      <formula>9.5</formula>
    </cfRule>
  </conditionalFormatting>
  <printOptions horizontalCentered="1" verticalCentered="1"/>
  <pageMargins left="0.78740157480314965" right="0.74803149606299213" top="0.39370078740157483" bottom="0.39370078740157483" header="0" footer="0"/>
  <pageSetup paperSize="8" scale="78" orientation="landscape" r:id="rId1"/>
  <headerFooter alignWithMargins="0"/>
  <colBreaks count="2" manualBreakCount="2">
    <brk id="307" max="1048575" man="1"/>
    <brk id="1391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INF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IMIL</dc:creator>
  <cp:lastModifiedBy>Mail Alert</cp:lastModifiedBy>
  <cp:lastPrinted>2023-01-04T11:19:43Z</cp:lastPrinted>
  <dcterms:created xsi:type="dcterms:W3CDTF">2006-08-28T08:40:47Z</dcterms:created>
  <dcterms:modified xsi:type="dcterms:W3CDTF">2026-01-14T10:07:19Z</dcterms:modified>
</cp:coreProperties>
</file>